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202300"/>
  <mc:AlternateContent xmlns:mc="http://schemas.openxmlformats.org/markup-compatibility/2006">
    <mc:Choice Requires="x15">
      <x15ac:absPath xmlns:x15ac="http://schemas.microsoft.com/office/spreadsheetml/2010/11/ac" url="https://uoe-my.sharepoint.com/personal/s2511165_ed_ac_uk/Documents/26-27 Semester 1/Practical Environmental Impact Assessment/Impact Assessment Report/"/>
    </mc:Choice>
  </mc:AlternateContent>
  <xr:revisionPtr revIDLastSave="0" documentId="8_{1F45F492-1312-0144-8AE2-DC314DA30789}" xr6:coauthVersionLast="47" xr6:coauthVersionMax="47" xr10:uidLastSave="{00000000-0000-0000-0000-000000000000}"/>
  <bookViews>
    <workbookView xWindow="900" yWindow="500" windowWidth="27900" windowHeight="17500" activeTab="2" xr2:uid="{F7D30C9B-EB21-6545-81BD-4456285A80F7}"/>
  </bookViews>
  <sheets>
    <sheet name="Metadata" sheetId="4" r:id="rId1"/>
    <sheet name="Site_Description" sheetId="3" r:id="rId2"/>
    <sheet name="Chemsitry" sheetId="1" r:id="rId3"/>
    <sheet name="Kick_sampling" sheetId="5" r:id="rId4"/>
    <sheet name="Discharge" sheetId="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2" i="2" l="1"/>
  <c r="H32" i="2"/>
  <c r="F25" i="2"/>
  <c r="F19" i="2"/>
  <c r="F18" i="2"/>
  <c r="F3" i="2"/>
  <c r="F2" i="2"/>
  <c r="F6" i="2"/>
  <c r="F5" i="2"/>
  <c r="F4" i="2"/>
  <c r="F35" i="2" l="1"/>
  <c r="G35" i="2" s="1"/>
  <c r="F34" i="2"/>
  <c r="G34" i="2" s="1"/>
  <c r="F33" i="2"/>
  <c r="G33" i="2" s="1"/>
  <c r="G25" i="2"/>
  <c r="F24" i="2"/>
  <c r="G24" i="2" s="1"/>
  <c r="F23" i="2"/>
  <c r="G23" i="2" s="1"/>
  <c r="F22" i="2"/>
  <c r="G22" i="2" s="1"/>
  <c r="F21" i="2"/>
  <c r="G21" i="2" s="1"/>
  <c r="F20" i="2"/>
  <c r="G20" i="2" s="1"/>
  <c r="G19" i="2"/>
  <c r="H14" i="2" s="1"/>
  <c r="F17" i="2"/>
  <c r="G17" i="2" s="1"/>
  <c r="F16" i="2"/>
  <c r="G16" i="2" s="1"/>
  <c r="F15" i="2"/>
  <c r="G15" i="2" s="1"/>
  <c r="F14" i="2"/>
  <c r="F7" i="2"/>
  <c r="G7" i="2" s="1"/>
  <c r="G4" i="2"/>
  <c r="G3" i="2"/>
  <c r="G2" i="2"/>
  <c r="G32" i="2"/>
  <c r="G18" i="2"/>
  <c r="G14" i="2"/>
  <c r="G6" i="2"/>
  <c r="G5" i="2"/>
  <c r="C9" i="2"/>
  <c r="F10" i="2" s="1"/>
  <c r="G10" i="2" s="1"/>
  <c r="C10" i="2"/>
  <c r="F11" i="2" l="1"/>
  <c r="G11" i="2" s="1"/>
  <c r="C11" i="2"/>
  <c r="C12" i="2" s="1"/>
  <c r="C13" i="2" s="1"/>
  <c r="F12" i="2"/>
  <c r="G12" i="2" s="1"/>
  <c r="F13" i="2"/>
  <c r="G13" i="2" s="1"/>
  <c r="F8" i="2"/>
  <c r="G8" i="2" s="1"/>
  <c r="F9" i="2"/>
  <c r="G9" i="2" s="1"/>
  <c r="H20" i="2"/>
  <c r="H2" i="2"/>
  <c r="H8" i="2" l="1"/>
</calcChain>
</file>

<file path=xl/sharedStrings.xml><?xml version="1.0" encoding="utf-8"?>
<sst xmlns="http://schemas.openxmlformats.org/spreadsheetml/2006/main" count="549" uniqueCount="186">
  <si>
    <t>Metadata</t>
  </si>
  <si>
    <t>Date</t>
  </si>
  <si>
    <t>Site</t>
  </si>
  <si>
    <t>Channel and sediment description</t>
  </si>
  <si>
    <t xml:space="preserve">Date </t>
  </si>
  <si>
    <t>Site_coordinates_lat</t>
  </si>
  <si>
    <t>Site_coordinates_long</t>
  </si>
  <si>
    <t>Conductivity</t>
  </si>
  <si>
    <t>TDSL</t>
  </si>
  <si>
    <t>width_of_river_m</t>
  </si>
  <si>
    <t>Distance_from_bank_m</t>
  </si>
  <si>
    <t>flow_ms-1</t>
  </si>
  <si>
    <t xml:space="preserve">Variables </t>
  </si>
  <si>
    <t>River habitat description</t>
  </si>
  <si>
    <t xml:space="preserve">Adjacnt vegetation at the riverside is a deciduous mixed woods with Betula, Alnus, and Pinus present. Some aquatic plants and herbaceus species are present too. </t>
  </si>
  <si>
    <t xml:space="preserve">There is a big shallowbank (5 m width along the flow direction), and at the sides of the shallow bank flows are fatser. Bottom substrates are gravels of (~10 cm) diameter on average. </t>
  </si>
  <si>
    <t xml:space="preserve">Deciduous mixed woods surrounding the river. </t>
  </si>
  <si>
    <t>Water mite</t>
  </si>
  <si>
    <t>Caseless caddisfly larvae</t>
  </si>
  <si>
    <t>Damselfly larvae</t>
  </si>
  <si>
    <t>site_no</t>
  </si>
  <si>
    <t>Mayfly larvae</t>
  </si>
  <si>
    <t>Blackfly larvae</t>
  </si>
  <si>
    <t>Freshwater shrimp</t>
  </si>
  <si>
    <t>Stonefly larvae</t>
  </si>
  <si>
    <t>Pond snail</t>
  </si>
  <si>
    <t>Beetle larvae</t>
  </si>
  <si>
    <t>area_m2</t>
  </si>
  <si>
    <t>Stonefly nymph</t>
  </si>
  <si>
    <t>sub_discharge_m3s-1</t>
  </si>
  <si>
    <t>Water beetle</t>
  </si>
  <si>
    <t xml:space="preserve">Mixed birch and pine forest. </t>
  </si>
  <si>
    <t>site_discharge_ms3s-1</t>
  </si>
  <si>
    <t>Pine trees, grass and herbs, low diversity. Flowering herbs</t>
  </si>
  <si>
    <t>Discharge calculation</t>
  </si>
  <si>
    <t>Channel modification</t>
  </si>
  <si>
    <t>Low concrete road bridge. Stone walls along bank</t>
  </si>
  <si>
    <t>Cased caddisfly larvae</t>
  </si>
  <si>
    <t xml:space="preserve">Small culvert under footpath </t>
  </si>
  <si>
    <t xml:space="preserve">Left side: narrow fast riffle. Centre: wide pebble sediment deposit. Right side: slow v shallow pool. Steep undercut vegetated banks </t>
  </si>
  <si>
    <t>Crane fly larvae</t>
  </si>
  <si>
    <t>Flows over vehicle access track</t>
  </si>
  <si>
    <t xml:space="preserve">Headwaters. Very clear water, v narrow channel, slow moving. Shallow banks overhanging water </t>
  </si>
  <si>
    <t>Mixed deciduous woodland. Heather, bracken, herbs</t>
  </si>
  <si>
    <t xml:space="preserve">Stagnant pool, no visible water flow. Dark colour, narrow channels. Low banks with grass and matt-forming vegetation growing into the water </t>
  </si>
  <si>
    <t>A cross-sectional area is given by depth*sectional_width/2 for 2 edges of the river, and sectional_width*(depth1+depth2)/2 for all other sections, considering them as a trapezoid. 
We used flow per section to calculate the sectional discharge, which we summed up to get the site discharge.
For first and the last section (edges), we used the first and the fifth flows. For all other sections in the middle, we used a sum of two flow measurements at the sides.</t>
  </si>
  <si>
    <t xml:space="preserve">There is no channel modification. </t>
  </si>
  <si>
    <t xml:space="preserve">River flow is still and deep (~1 m). No visible flow from up-down stream. Water is transparent and the bottom substrates are visible. Substrate is a mix of mud, pebbles, and sand. There are fallen trees at the bottom of the river, and muddy. River crosssection does not have a strong topographical variation and has a shape of a shallow bowl  plate. </t>
  </si>
  <si>
    <t xml:space="preserve">Substrates are pebble/ stones. Water is running fast. riffles. Wide channel. Steep undercut on left (erosion). Gentle pebble bank on right (deposition).  </t>
  </si>
  <si>
    <t>Worm</t>
  </si>
  <si>
    <t xml:space="preserve">Mixed deciduous and pine woods surrounding the river. Grasses, rushes, forbs , shrubs </t>
  </si>
  <si>
    <t>S1</t>
  </si>
  <si>
    <t>S2</t>
  </si>
  <si>
    <t>S3</t>
  </si>
  <si>
    <t>S4</t>
  </si>
  <si>
    <t>A1</t>
  </si>
  <si>
    <t>A2</t>
  </si>
  <si>
    <t>A3</t>
  </si>
  <si>
    <t>A4</t>
  </si>
  <si>
    <t>A5</t>
  </si>
  <si>
    <t>A6</t>
  </si>
  <si>
    <t>Nutrients below detection</t>
  </si>
  <si>
    <t>A1 -6</t>
  </si>
  <si>
    <t>S1-4</t>
  </si>
  <si>
    <t>Dissolved PO4</t>
  </si>
  <si>
    <t>Total NO3</t>
  </si>
  <si>
    <t>mg/l_caco3</t>
  </si>
  <si>
    <t>Alkilinity</t>
  </si>
  <si>
    <t>DO</t>
  </si>
  <si>
    <t>mg/L</t>
  </si>
  <si>
    <t>ppm</t>
  </si>
  <si>
    <t xml:space="preserve">Total PO4 </t>
  </si>
  <si>
    <t xml:space="preserve">Dissolved NO3 </t>
  </si>
  <si>
    <t>degree C</t>
  </si>
  <si>
    <t>temperature</t>
  </si>
  <si>
    <t>%</t>
  </si>
  <si>
    <t>Turbidity</t>
  </si>
  <si>
    <t>NTU</t>
  </si>
  <si>
    <t>alkalinity, turbidity, discharge (width, depth and flow rate at 3-5 divisions of the river cross-section), invertebrates present, dissolved oxygen (DO) concentration, DO percentage, total dissolved solids (TDSL), and temperature. Total Nitrate. Disssolved nitrate, total phosphate, dossolved phosphate .</t>
  </si>
  <si>
    <t>µg/L</t>
  </si>
  <si>
    <t>site</t>
  </si>
  <si>
    <t>Plecoptera</t>
  </si>
  <si>
    <t>Mayfly</t>
  </si>
  <si>
    <t>Ephemeroptera</t>
  </si>
  <si>
    <t>Unidentified larvae</t>
  </si>
  <si>
    <t>Coleoptera</t>
  </si>
  <si>
    <t>Cybaeidae</t>
  </si>
  <si>
    <t>Water spider</t>
  </si>
  <si>
    <t>Hydrachnidia</t>
  </si>
  <si>
    <t>Calopterygidae</t>
  </si>
  <si>
    <t>Demoiselle nymph</t>
  </si>
  <si>
    <t>Trichoptera</t>
  </si>
  <si>
    <t>Caddisfly</t>
  </si>
  <si>
    <t>Anisoptera</t>
  </si>
  <si>
    <t>Dragonfly nymph</t>
  </si>
  <si>
    <t>Nematomorpha</t>
  </si>
  <si>
    <t>Horsehair worm</t>
  </si>
  <si>
    <t>Chironomidae</t>
  </si>
  <si>
    <t>Non-biting midge larvae</t>
  </si>
  <si>
    <t>Gyrinidae</t>
  </si>
  <si>
    <t>Whirligig beetle</t>
  </si>
  <si>
    <t>Collembola</t>
  </si>
  <si>
    <t>Springtail</t>
  </si>
  <si>
    <t>Simuliidae</t>
  </si>
  <si>
    <t>Syrphidae</t>
  </si>
  <si>
    <t>Hoverfly larvae</t>
  </si>
  <si>
    <t>Heather (dominant), grass, Sphagnum, lichen, fern, buttercup, allium; willow and birch saplings within the 10 m band; deadwood log.</t>
  </si>
  <si>
    <t>Sitka spruce, Caucasian spruce, lichens, mosses, rushes, sedges, grasses, heather ling, thistle, mushrooms; abundant deadwood.</t>
  </si>
  <si>
    <t>Rowan, Scots pine, heather ling, bracken (west bank), wild rose (east bank), grass-clover sward (opposite bank), unidentified purple and yellow forbs, abundant mushrooms.</t>
  </si>
  <si>
    <t>Sampling effort</t>
  </si>
  <si>
    <t>survey_date</t>
  </si>
  <si>
    <t>n_kick_samples</t>
  </si>
  <si>
    <t>n_taxa_present</t>
  </si>
  <si>
    <t>29/08/2026 - 31/08/26</t>
  </si>
  <si>
    <t>Total_Count</t>
  </si>
  <si>
    <t>Stonefly</t>
  </si>
  <si>
    <t>Medium</t>
  </si>
  <si>
    <t>Unidentified</t>
  </si>
  <si>
    <t>Unknown</t>
  </si>
  <si>
    <t>Low</t>
  </si>
  <si>
    <t>Beetle</t>
  </si>
  <si>
    <t>Water beetle (Adult)</t>
  </si>
  <si>
    <t>Spider</t>
  </si>
  <si>
    <t>High</t>
  </si>
  <si>
    <t>Mite</t>
  </si>
  <si>
    <t>Damselfly</t>
  </si>
  <si>
    <t>Caddisfly (Generic)</t>
  </si>
  <si>
    <t>Dragonfly</t>
  </si>
  <si>
    <t>Midge</t>
  </si>
  <si>
    <t>Blackfly</t>
  </si>
  <si>
    <t>Hoverfly</t>
  </si>
  <si>
    <t>Trichoptera (Caseless)</t>
  </si>
  <si>
    <t>Mayfly larvae/nymph</t>
  </si>
  <si>
    <t>Zygoptera</t>
  </si>
  <si>
    <t>Shrimp</t>
  </si>
  <si>
    <t>Gammaridae</t>
  </si>
  <si>
    <t>Stonefly larvae/nymph</t>
  </si>
  <si>
    <t>Trichoptera (Cased)</t>
  </si>
  <si>
    <t>Crane Fly</t>
  </si>
  <si>
    <t>Tipulidae</t>
  </si>
  <si>
    <t>Annelida</t>
  </si>
  <si>
    <t>Aquatic worm</t>
  </si>
  <si>
    <t>Snail</t>
  </si>
  <si>
    <t>Gastropoda</t>
  </si>
  <si>
    <t>Nematoda</t>
  </si>
  <si>
    <t>Nematode</t>
  </si>
  <si>
    <t>Why ASPT was the correct choice for this specific dataset.</t>
  </si>
  <si>
    <t>How ID_Quality (High vs. Low) might affect the reliability of your results.</t>
  </si>
  <si>
    <t>Notes</t>
  </si>
  <si>
    <t>Taxon</t>
  </si>
  <si>
    <t>Standardised_Name</t>
  </si>
  <si>
    <t>Common_name</t>
  </si>
  <si>
    <t>ID_confidence</t>
  </si>
  <si>
    <t>Merged with larvae below for total Coleoptera count?</t>
  </si>
  <si>
    <t>Water beetle (adult + larvae)</t>
  </si>
  <si>
    <t>Exclude from scoring</t>
  </si>
  <si>
    <t xml:space="preserve">Assumed Annelid </t>
  </si>
  <si>
    <t>Assumed Gammarus</t>
  </si>
  <si>
    <t>Class level</t>
  </si>
  <si>
    <t>Step 1:  Look up "Indicator Species" and "Pollution Tolerance Scores" for freshwater invertebrates. You will find that sensitive species (e.g., Stoneflies) indicate clean water, while tolerant species (e.g., Midges) indicate pollution.</t>
  </si>
  <si>
    <t xml:space="preserve">ID confidence tells you how confident we are of the organisms taxonomic resolution </t>
  </si>
  <si>
    <t>Step 2:  Research the ASPT (Average Score Per Taxon) method.</t>
  </si>
  <si>
    <t>Step 3:  Calculate the ASPT for each site to compare their ecological value. In your report, don’t forget to describe:</t>
  </si>
  <si>
    <t>Notes for those wanting to use Freshwater taxon data</t>
  </si>
  <si>
    <t xml:space="preserve"> The numbers in the Total_Count column represent how many samples contained a species (Presence), NOT the total number of individuals found (Abundance).</t>
  </si>
  <si>
    <t xml:space="preserve"> To Assess Ecological Value: You need to determine the health of the river based on which creatures are present, not how many there are.</t>
  </si>
  <si>
    <t>Why ASPT? It is specifically designed to calculate ecological value using the types of families present, making it ideal for presence-only datasets like we have here.</t>
  </si>
  <si>
    <t xml:space="preserve">Medium: records at this level (e.g., "Mayfly larvae") represent Morphological Groups or Operational Taxonomic Units (OTUs) rather than a specific family. 
</t>
  </si>
  <si>
    <t>Precautionary Principle - flagging uncertainty rather than assuming the worst/best-case scenario. Sites with many "Medium" records have a wider margin of error in their final ecological value assessment.</t>
  </si>
  <si>
    <t>High:  Family confirmed</t>
  </si>
  <si>
    <t>Scoring Approach for medium records: Do not score based on the most sensitive family (which would overestimate water quality). Instead,  apply a conservative average score typical for that group in this region.</t>
  </si>
  <si>
    <t>Cannot distinguish if Cased/Caseless. Use average or exclude.</t>
  </si>
  <si>
    <t>Family level assumed as Tipulidae overwhelmingly dominates this morphological group. Other possible families are extremely rare in this habitat.</t>
  </si>
  <si>
    <t>Steep sided channel, modified proximal to chalets. Sediment was largely large rocks with silt/sand undermatrix.</t>
  </si>
  <si>
    <t xml:space="preserve">narrow linear channel, v slow moving, sediment very soft and sludgy, silty. </t>
  </si>
  <si>
    <t>Winding narrow channel with very silty sediment</t>
  </si>
  <si>
    <t>steep gradient channel, narrow and winding. Sediment was gravel, stones, very little sand/silt</t>
  </si>
  <si>
    <t>n/a</t>
  </si>
  <si>
    <t>potnetially drain or plough furrow from tree planting</t>
  </si>
  <si>
    <t>banks sabalised with concrete and wire</t>
  </si>
  <si>
    <t>Open canopy, Scots pine forest</t>
  </si>
  <si>
    <t>Channel downstream of Badaguish septic tank</t>
  </si>
  <si>
    <t xml:space="preserve">Rivers linking to Loch Morlich at the east of the Loch Morlich, in the Glenmore Forest Park, near the camp site. </t>
  </si>
  <si>
    <t>depth_cm</t>
  </si>
  <si>
    <t>Headwaters above badaguish field centre, within the site and below the badaguish field centre septic tank system</t>
  </si>
  <si>
    <t>Negative nutrient results are below the detection limit and should be read as such, not as concentrations. The detection limit for PO4 = 1.0 µg / L NO3 = 0.005 mg/L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</si>
</sst>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yyyy\-mm\-dd"/>
    <numFmt numFmtId="167" formatCode="0.0000"/>
    <numFmt numFmtId="168" formatCode="0.00000"/>
  </numFmts>
  <fonts count="13" x14ac:knownFonts="1">
    <font>
      <sz val="12"/>
      <color theme="1"/>
      <name val="Aptos Narrow"/>
      <family val="2"/>
      <scheme val="minor"/>
    </font>
    <font>
      <b/>
      <sz val="12"/>
      <color theme="1"/>
      <name val="Aptos Narrow"/>
      <scheme val="minor"/>
    </font>
    <font>
      <b/>
      <sz val="12"/>
      <color theme="1"/>
      <name val="Aptos Narrow"/>
      <family val="2"/>
      <scheme val="minor"/>
    </font>
    <font>
      <b/>
      <sz val="12"/>
      <color theme="1"/>
      <name val="Arial"/>
      <family val="2"/>
    </font>
    <font>
      <sz val="12"/>
      <color theme="1"/>
      <name val="Arial"/>
      <family val="2"/>
    </font>
    <font>
      <sz val="10"/>
      <name val="Arial"/>
      <family val="2"/>
    </font>
    <font>
      <b/>
      <sz val="11"/>
      <color theme="1"/>
      <name val="Arial"/>
      <family val="2"/>
    </font>
    <font>
      <sz val="11"/>
      <color theme="1"/>
      <name val="Arial"/>
      <family val="2"/>
    </font>
    <font>
      <sz val="11"/>
      <name val="Arial"/>
      <family val="2"/>
    </font>
    <font>
      <sz val="12"/>
      <name val="Arial"/>
      <family val="2"/>
    </font>
    <font>
      <sz val="8"/>
      <name val="Aptos Narrow"/>
      <family val="2"/>
      <scheme val="minor"/>
    </font>
    <font>
      <b/>
      <sz val="10"/>
      <name val="Arial"/>
      <family val="2"/>
    </font>
    <font>
      <sz val="12"/>
      <name val="Aptos Narrow"/>
      <family val="2"/>
      <scheme val="minor"/>
    </font>
  </fonts>
  <fills count="3">
    <fill>
      <patternFill patternType="none"/>
    </fill>
    <fill>
      <patternFill patternType="gray125"/>
    </fill>
    <fill>
      <patternFill patternType="solid">
        <fgColor rgb="FFD9D9D9"/>
        <bgColor rgb="FFF2F2F2"/>
      </patternFill>
    </fill>
  </fills>
  <borders count="2">
    <border>
      <left/>
      <right/>
      <top/>
      <bottom/>
      <diagonal/>
    </border>
    <border>
      <left/>
      <right/>
      <top/>
      <bottom style="thin">
        <color rgb="FFBFBFBF"/>
      </bottom>
      <diagonal/>
    </border>
  </borders>
  <cellStyleXfs count="1">
    <xf numFmtId="0" fontId="0" fillId="0" borderId="0"/>
  </cellStyleXfs>
  <cellXfs count="30">
    <xf numFmtId="0" fontId="0" fillId="0" borderId="0" xfId="0"/>
    <xf numFmtId="0" fontId="1" fillId="0" borderId="0" xfId="0" applyFont="1"/>
    <xf numFmtId="0" fontId="2" fillId="0" borderId="0" xfId="0" applyFont="1"/>
    <xf numFmtId="0" fontId="0" fillId="0" borderId="0" xfId="0" applyAlignment="1">
      <alignment wrapText="1"/>
    </xf>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9" fillId="0" borderId="0" xfId="0" applyFont="1"/>
    <xf numFmtId="164" fontId="9" fillId="0" borderId="0" xfId="0" applyNumberFormat="1" applyFont="1"/>
    <xf numFmtId="165" fontId="9" fillId="0" borderId="0" xfId="0" applyNumberFormat="1" applyFont="1"/>
    <xf numFmtId="166" fontId="5" fillId="0" borderId="0" xfId="0" applyNumberFormat="1" applyFont="1"/>
    <xf numFmtId="0" fontId="11" fillId="0" borderId="0" xfId="0" applyFont="1"/>
    <xf numFmtId="0" fontId="11" fillId="2" borderId="1" xfId="0" applyFont="1" applyFill="1" applyBorder="1" applyAlignment="1">
      <alignment wrapText="1"/>
    </xf>
    <xf numFmtId="0" fontId="6" fillId="0" borderId="0" xfId="0" applyFont="1" applyAlignment="1">
      <alignment horizontal="left" vertical="top" wrapText="1"/>
    </xf>
    <xf numFmtId="0" fontId="7" fillId="0" borderId="0" xfId="0" applyFont="1" applyAlignment="1">
      <alignment horizontal="left" vertical="top" wrapText="1"/>
    </xf>
    <xf numFmtId="0" fontId="7" fillId="0" borderId="0" xfId="0" applyFont="1" applyAlignment="1">
      <alignment vertical="top" wrapText="1"/>
    </xf>
    <xf numFmtId="0" fontId="7" fillId="0" borderId="0" xfId="0" applyFont="1" applyAlignment="1">
      <alignment wrapText="1"/>
    </xf>
    <xf numFmtId="0" fontId="8" fillId="0" borderId="0" xfId="0" applyFont="1" applyAlignment="1">
      <alignment vertical="top" wrapText="1"/>
    </xf>
    <xf numFmtId="0" fontId="11" fillId="0" borderId="0" xfId="0" applyFont="1" applyAlignment="1">
      <alignment wrapText="1"/>
    </xf>
    <xf numFmtId="14" fontId="0" fillId="0" borderId="0" xfId="0" applyNumberFormat="1"/>
    <xf numFmtId="0" fontId="12" fillId="0" borderId="0" xfId="0" applyFont="1"/>
    <xf numFmtId="166" fontId="12" fillId="0" borderId="0" xfId="0" applyNumberFormat="1" applyFont="1"/>
    <xf numFmtId="164" fontId="12" fillId="0" borderId="0" xfId="0" applyNumberFormat="1" applyFont="1"/>
    <xf numFmtId="1" fontId="12" fillId="0" borderId="0" xfId="0" applyNumberFormat="1" applyFont="1"/>
    <xf numFmtId="167" fontId="12" fillId="0" borderId="0" xfId="0" applyNumberFormat="1" applyFont="1"/>
    <xf numFmtId="168" fontId="12" fillId="0" borderId="0" xfId="0" applyNumberFormat="1" applyFont="1"/>
    <xf numFmtId="167" fontId="4" fillId="0" borderId="0" xfId="0" applyNumberFormat="1" applyFont="1"/>
    <xf numFmtId="2" fontId="4"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1FA37-3EA7-4999-8E59-058747ED8255}">
  <dimension ref="A1:B9"/>
  <sheetViews>
    <sheetView workbookViewId="0">
      <selection activeCell="B21" sqref="B21"/>
    </sheetView>
  </sheetViews>
  <sheetFormatPr baseColWidth="10" defaultColWidth="8.83203125" defaultRowHeight="16" x14ac:dyDescent="0.2"/>
  <cols>
    <col min="1" max="1" width="22.33203125" customWidth="1"/>
    <col min="2" max="2" width="99.5" customWidth="1"/>
    <col min="3" max="3" width="11.6640625" customWidth="1"/>
  </cols>
  <sheetData>
    <row r="1" spans="1:2" x14ac:dyDescent="0.2">
      <c r="A1" s="2" t="s">
        <v>0</v>
      </c>
      <c r="B1" s="2"/>
    </row>
    <row r="2" spans="1:2" ht="17" x14ac:dyDescent="0.2">
      <c r="A2" s="2" t="s">
        <v>1</v>
      </c>
      <c r="B2" s="3" t="s">
        <v>113</v>
      </c>
    </row>
    <row r="3" spans="1:2" ht="17" x14ac:dyDescent="0.2">
      <c r="A3" s="2" t="s">
        <v>62</v>
      </c>
      <c r="B3" s="3" t="s">
        <v>182</v>
      </c>
    </row>
    <row r="4" spans="1:2" ht="17" x14ac:dyDescent="0.2">
      <c r="A4" s="2" t="s">
        <v>63</v>
      </c>
      <c r="B4" s="3" t="s">
        <v>184</v>
      </c>
    </row>
    <row r="5" spans="1:2" ht="51" x14ac:dyDescent="0.2">
      <c r="A5" s="1" t="s">
        <v>12</v>
      </c>
      <c r="B5" s="3" t="s">
        <v>78</v>
      </c>
    </row>
    <row r="6" spans="1:2" ht="85" x14ac:dyDescent="0.2">
      <c r="A6" s="2" t="s">
        <v>34</v>
      </c>
      <c r="B6" s="3" t="s">
        <v>45</v>
      </c>
    </row>
    <row r="7" spans="1:2" x14ac:dyDescent="0.2">
      <c r="A7" s="1"/>
      <c r="B7" s="3"/>
    </row>
    <row r="8" spans="1:2" ht="34" x14ac:dyDescent="0.2">
      <c r="A8" s="1" t="s">
        <v>61</v>
      </c>
      <c r="B8" s="3" t="s">
        <v>185</v>
      </c>
    </row>
    <row r="9" spans="1:2" x14ac:dyDescent="0.2">
      <c r="B9"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33272-F939-42B0-88C9-D6F8F259E735}">
  <dimension ref="A1:D12"/>
  <sheetViews>
    <sheetView zoomScale="116" workbookViewId="0">
      <selection activeCell="D16" sqref="D16"/>
    </sheetView>
  </sheetViews>
  <sheetFormatPr baseColWidth="10" defaultColWidth="8.83203125" defaultRowHeight="14" x14ac:dyDescent="0.15"/>
  <cols>
    <col min="1" max="1" width="8.1640625" style="8" customWidth="1"/>
    <col min="2" max="2" width="39.6640625" style="8" customWidth="1"/>
    <col min="3" max="3" width="44.5" style="8" customWidth="1"/>
    <col min="4" max="4" width="30.1640625" style="8" customWidth="1"/>
    <col min="5" max="16384" width="8.83203125" style="8"/>
  </cols>
  <sheetData>
    <row r="1" spans="1:4" ht="15" x14ac:dyDescent="0.15">
      <c r="A1" s="15" t="s">
        <v>2</v>
      </c>
      <c r="B1" s="7" t="s">
        <v>13</v>
      </c>
      <c r="C1" s="7" t="s">
        <v>3</v>
      </c>
      <c r="D1" s="7" t="s">
        <v>35</v>
      </c>
    </row>
    <row r="2" spans="1:4" ht="123.75" customHeight="1" x14ac:dyDescent="0.15">
      <c r="A2" s="8" t="s">
        <v>55</v>
      </c>
      <c r="B2" s="16" t="s">
        <v>14</v>
      </c>
      <c r="C2" s="17" t="s">
        <v>47</v>
      </c>
    </row>
    <row r="3" spans="1:4" ht="60" x14ac:dyDescent="0.15">
      <c r="A3" s="8" t="s">
        <v>56</v>
      </c>
      <c r="B3" s="18" t="s">
        <v>16</v>
      </c>
      <c r="C3" s="18" t="s">
        <v>15</v>
      </c>
    </row>
    <row r="4" spans="1:4" ht="45" x14ac:dyDescent="0.15">
      <c r="A4" s="8" t="s">
        <v>57</v>
      </c>
      <c r="B4" s="18" t="s">
        <v>50</v>
      </c>
      <c r="C4" s="18" t="s">
        <v>48</v>
      </c>
      <c r="D4" s="8" t="s">
        <v>46</v>
      </c>
    </row>
    <row r="5" spans="1:4" ht="45" x14ac:dyDescent="0.15">
      <c r="A5" s="8" t="s">
        <v>58</v>
      </c>
      <c r="B5" s="8" t="s">
        <v>33</v>
      </c>
      <c r="C5" s="18" t="s">
        <v>39</v>
      </c>
      <c r="D5" s="18" t="s">
        <v>36</v>
      </c>
    </row>
    <row r="6" spans="1:4" ht="45" x14ac:dyDescent="0.15">
      <c r="A6" s="8" t="s">
        <v>59</v>
      </c>
      <c r="B6" s="8" t="s">
        <v>31</v>
      </c>
      <c r="C6" s="18" t="s">
        <v>44</v>
      </c>
      <c r="D6" s="18" t="s">
        <v>38</v>
      </c>
    </row>
    <row r="7" spans="1:4" ht="30" x14ac:dyDescent="0.15">
      <c r="A7" s="8" t="s">
        <v>60</v>
      </c>
      <c r="B7" s="18" t="s">
        <v>43</v>
      </c>
      <c r="C7" s="18" t="s">
        <v>42</v>
      </c>
      <c r="D7" s="18" t="s">
        <v>41</v>
      </c>
    </row>
    <row r="9" spans="1:4" ht="45" x14ac:dyDescent="0.15">
      <c r="A9" s="8" t="s">
        <v>51</v>
      </c>
      <c r="B9" s="19" t="s">
        <v>106</v>
      </c>
      <c r="C9" s="8" t="s">
        <v>176</v>
      </c>
      <c r="D9" s="8" t="s">
        <v>177</v>
      </c>
    </row>
    <row r="10" spans="1:4" ht="45" x14ac:dyDescent="0.15">
      <c r="A10" s="8" t="s">
        <v>52</v>
      </c>
      <c r="B10" s="19" t="s">
        <v>107</v>
      </c>
      <c r="C10" s="8" t="s">
        <v>174</v>
      </c>
      <c r="D10" s="8" t="s">
        <v>178</v>
      </c>
    </row>
    <row r="11" spans="1:4" ht="75" x14ac:dyDescent="0.15">
      <c r="A11" s="8" t="s">
        <v>53</v>
      </c>
      <c r="B11" s="19" t="s">
        <v>108</v>
      </c>
      <c r="C11" s="8" t="s">
        <v>173</v>
      </c>
      <c r="D11" s="8" t="s">
        <v>179</v>
      </c>
    </row>
    <row r="12" spans="1:4" ht="15" x14ac:dyDescent="0.15">
      <c r="A12" s="8" t="s">
        <v>54</v>
      </c>
      <c r="B12" s="19" t="s">
        <v>180</v>
      </c>
      <c r="C12" s="8" t="s">
        <v>175</v>
      </c>
      <c r="D12" s="7" t="s">
        <v>181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2078B-40B4-2646-853F-994E8DCFC11E}">
  <dimension ref="A1:O13"/>
  <sheetViews>
    <sheetView tabSelected="1" workbookViewId="0">
      <selection activeCell="M20" sqref="M20"/>
    </sheetView>
  </sheetViews>
  <sheetFormatPr baseColWidth="10" defaultColWidth="11" defaultRowHeight="16" x14ac:dyDescent="0.2"/>
  <cols>
    <col min="3" max="4" width="21.5" customWidth="1"/>
    <col min="5" max="5" width="13.33203125" customWidth="1"/>
    <col min="6" max="6" width="12.5" customWidth="1"/>
    <col min="11" max="11" width="15.1640625" customWidth="1"/>
    <col min="12" max="12" width="15.33203125" customWidth="1"/>
    <col min="13" max="13" width="12.6640625" bestFit="1" customWidth="1"/>
    <col min="14" max="14" width="8.83203125" bestFit="1" customWidth="1"/>
    <col min="15" max="15" width="12.6640625" bestFit="1" customWidth="1"/>
  </cols>
  <sheetData>
    <row r="1" spans="1:15" x14ac:dyDescent="0.2">
      <c r="A1" s="2" t="s">
        <v>2</v>
      </c>
      <c r="B1" s="2" t="s">
        <v>4</v>
      </c>
      <c r="C1" s="2" t="s">
        <v>5</v>
      </c>
      <c r="D1" s="2" t="s">
        <v>6</v>
      </c>
      <c r="E1" s="2" t="s">
        <v>76</v>
      </c>
      <c r="F1" s="2" t="s">
        <v>67</v>
      </c>
      <c r="G1" s="2" t="s">
        <v>68</v>
      </c>
      <c r="H1" s="2" t="s">
        <v>68</v>
      </c>
      <c r="I1" s="2" t="s">
        <v>7</v>
      </c>
      <c r="J1" s="2" t="s">
        <v>8</v>
      </c>
      <c r="K1" s="2" t="s">
        <v>74</v>
      </c>
      <c r="L1" s="2" t="s">
        <v>71</v>
      </c>
      <c r="M1" s="2" t="s">
        <v>64</v>
      </c>
      <c r="N1" s="2" t="s">
        <v>65</v>
      </c>
      <c r="O1" s="2" t="s">
        <v>72</v>
      </c>
    </row>
    <row r="2" spans="1:15" x14ac:dyDescent="0.2">
      <c r="A2" s="2"/>
      <c r="B2" s="2"/>
      <c r="C2" s="2"/>
      <c r="D2" s="2"/>
      <c r="E2" s="2" t="s">
        <v>77</v>
      </c>
      <c r="F2" s="2" t="s">
        <v>66</v>
      </c>
      <c r="G2" s="2" t="s">
        <v>69</v>
      </c>
      <c r="H2" s="2" t="s">
        <v>75</v>
      </c>
      <c r="I2" s="2"/>
      <c r="J2" s="2" t="s">
        <v>70</v>
      </c>
      <c r="K2" s="2" t="s">
        <v>73</v>
      </c>
      <c r="L2" s="2" t="s">
        <v>79</v>
      </c>
      <c r="M2" s="2" t="s">
        <v>79</v>
      </c>
      <c r="N2" s="2" t="s">
        <v>69</v>
      </c>
      <c r="O2" s="2" t="s">
        <v>69</v>
      </c>
    </row>
    <row r="3" spans="1:15" x14ac:dyDescent="0.2">
      <c r="A3" t="s">
        <v>55</v>
      </c>
      <c r="B3" s="21">
        <v>46265</v>
      </c>
      <c r="C3">
        <v>57.16236</v>
      </c>
      <c r="D3">
        <v>-3.7025299999999999</v>
      </c>
      <c r="E3">
        <v>0</v>
      </c>
      <c r="F3">
        <v>10</v>
      </c>
      <c r="G3">
        <v>10.199999999999999</v>
      </c>
      <c r="H3">
        <v>95</v>
      </c>
      <c r="I3">
        <v>30.6</v>
      </c>
      <c r="J3">
        <v>27.5</v>
      </c>
      <c r="K3">
        <v>10.6</v>
      </c>
      <c r="L3">
        <v>4.6899999999999995</v>
      </c>
      <c r="M3">
        <v>4.16</v>
      </c>
      <c r="N3">
        <v>8.1000000000000003E-2</v>
      </c>
      <c r="O3">
        <v>0.08</v>
      </c>
    </row>
    <row r="4" spans="1:15" x14ac:dyDescent="0.2">
      <c r="A4" t="s">
        <v>56</v>
      </c>
      <c r="B4" s="21">
        <v>46265</v>
      </c>
      <c r="C4">
        <v>57.163089999999997</v>
      </c>
      <c r="D4">
        <v>-3.6935699999999998</v>
      </c>
      <c r="E4">
        <v>22</v>
      </c>
      <c r="F4">
        <v>0</v>
      </c>
      <c r="G4">
        <v>12.5</v>
      </c>
      <c r="H4">
        <v>119</v>
      </c>
      <c r="I4">
        <v>27.8</v>
      </c>
      <c r="J4">
        <v>24.5</v>
      </c>
      <c r="K4">
        <v>11.3</v>
      </c>
      <c r="L4">
        <v>-0.65500000000000003</v>
      </c>
      <c r="M4">
        <v>-6.0000000000000005E-2</v>
      </c>
      <c r="N4">
        <v>3.7999999999999999E-2</v>
      </c>
      <c r="O4">
        <v>3.95E-2</v>
      </c>
    </row>
    <row r="5" spans="1:15" x14ac:dyDescent="0.2">
      <c r="A5" t="s">
        <v>57</v>
      </c>
      <c r="B5" s="21">
        <v>46265</v>
      </c>
      <c r="C5">
        <v>57.164549999999998</v>
      </c>
      <c r="D5">
        <v>-3.6890399999999999</v>
      </c>
      <c r="E5">
        <v>2</v>
      </c>
      <c r="F5">
        <v>25</v>
      </c>
      <c r="G5">
        <v>10.6</v>
      </c>
      <c r="H5">
        <v>101</v>
      </c>
      <c r="I5">
        <v>29.7</v>
      </c>
      <c r="J5">
        <v>26.4</v>
      </c>
      <c r="K5">
        <v>11.3</v>
      </c>
      <c r="L5">
        <v>-1.24</v>
      </c>
      <c r="M5">
        <v>-0.245</v>
      </c>
      <c r="N5">
        <v>3.2000000000000001E-2</v>
      </c>
      <c r="O5">
        <v>3.5500000000000004E-2</v>
      </c>
    </row>
    <row r="6" spans="1:15" x14ac:dyDescent="0.2">
      <c r="A6" t="s">
        <v>58</v>
      </c>
      <c r="B6" s="21">
        <v>46265</v>
      </c>
      <c r="C6">
        <v>57.164180000000002</v>
      </c>
      <c r="D6">
        <v>-3.6871499999999999</v>
      </c>
      <c r="E6">
        <v>14</v>
      </c>
      <c r="F6">
        <v>25</v>
      </c>
      <c r="G6">
        <v>10.6</v>
      </c>
      <c r="H6">
        <v>100</v>
      </c>
      <c r="I6">
        <v>26.8</v>
      </c>
      <c r="J6">
        <v>23.6</v>
      </c>
      <c r="K6">
        <v>11.3</v>
      </c>
      <c r="L6">
        <v>-0.93500000000000005</v>
      </c>
      <c r="M6">
        <v>0.55500000000000005</v>
      </c>
      <c r="N6">
        <v>3.3000000000000002E-2</v>
      </c>
      <c r="O6">
        <v>3.15E-2</v>
      </c>
    </row>
    <row r="7" spans="1:15" x14ac:dyDescent="0.2">
      <c r="A7" t="s">
        <v>59</v>
      </c>
      <c r="B7" s="21">
        <v>46265</v>
      </c>
      <c r="C7">
        <v>57.160490000000003</v>
      </c>
      <c r="D7">
        <v>-3.6983999999999999</v>
      </c>
      <c r="E7">
        <v>14</v>
      </c>
      <c r="F7">
        <v>25</v>
      </c>
      <c r="G7">
        <v>4.3</v>
      </c>
      <c r="H7">
        <v>39</v>
      </c>
      <c r="I7">
        <v>44.4</v>
      </c>
      <c r="J7">
        <v>40.4</v>
      </c>
      <c r="K7">
        <v>10</v>
      </c>
      <c r="L7">
        <v>5.12</v>
      </c>
      <c r="M7">
        <v>4.24</v>
      </c>
      <c r="N7">
        <v>3.6499999999999998E-2</v>
      </c>
      <c r="O7">
        <v>3.4000000000000002E-2</v>
      </c>
    </row>
    <row r="8" spans="1:15" x14ac:dyDescent="0.2">
      <c r="A8" t="s">
        <v>60</v>
      </c>
      <c r="B8" s="21">
        <v>46265</v>
      </c>
      <c r="C8">
        <v>57.15992</v>
      </c>
      <c r="D8">
        <v>-3.6904300000000001</v>
      </c>
      <c r="E8">
        <v>0</v>
      </c>
      <c r="F8">
        <v>22</v>
      </c>
      <c r="G8">
        <v>8.5</v>
      </c>
      <c r="H8">
        <v>80</v>
      </c>
      <c r="I8">
        <v>29.4</v>
      </c>
      <c r="J8">
        <v>26.2</v>
      </c>
      <c r="K8">
        <v>10.9</v>
      </c>
      <c r="L8">
        <v>-1.125</v>
      </c>
      <c r="M8">
        <v>-1.3900000000000001</v>
      </c>
      <c r="N8">
        <v>1.7500000000000002E-2</v>
      </c>
      <c r="O8">
        <v>1.95E-2</v>
      </c>
    </row>
    <row r="10" spans="1:15" x14ac:dyDescent="0.2">
      <c r="A10" s="22" t="s">
        <v>51</v>
      </c>
      <c r="B10" s="23">
        <v>46263</v>
      </c>
      <c r="C10">
        <v>57.18385</v>
      </c>
      <c r="D10">
        <v>-3.7106400000000002</v>
      </c>
      <c r="E10" s="24">
        <v>0</v>
      </c>
      <c r="F10" s="22">
        <v>30</v>
      </c>
      <c r="G10">
        <v>10.5</v>
      </c>
      <c r="H10" s="25">
        <v>97</v>
      </c>
      <c r="I10" s="24">
        <v>6.5</v>
      </c>
      <c r="J10" s="27"/>
      <c r="K10" s="25">
        <v>11.8</v>
      </c>
      <c r="L10">
        <v>-1E-4</v>
      </c>
      <c r="M10">
        <v>0.4</v>
      </c>
      <c r="N10">
        <v>-7.4999999999999997E-3</v>
      </c>
      <c r="O10">
        <v>1.5E-3</v>
      </c>
    </row>
    <row r="11" spans="1:15" x14ac:dyDescent="0.2">
      <c r="A11" s="22" t="s">
        <v>52</v>
      </c>
      <c r="B11" s="23">
        <v>46263</v>
      </c>
      <c r="C11">
        <v>57.1813</v>
      </c>
      <c r="D11">
        <v>-3.72051</v>
      </c>
      <c r="E11" s="24">
        <v>60</v>
      </c>
      <c r="F11" s="22">
        <v>120</v>
      </c>
      <c r="G11">
        <v>4.7</v>
      </c>
      <c r="H11" s="25">
        <v>42</v>
      </c>
      <c r="I11" s="24">
        <v>17.100000000000001</v>
      </c>
      <c r="J11" s="27"/>
      <c r="K11" s="25">
        <v>10.4</v>
      </c>
      <c r="L11">
        <v>8.5500000000000007</v>
      </c>
      <c r="M11">
        <v>12.35</v>
      </c>
      <c r="N11">
        <v>-5.2999999999999999E-2</v>
      </c>
      <c r="O11">
        <v>-5.8499999999999996E-2</v>
      </c>
    </row>
    <row r="12" spans="1:15" x14ac:dyDescent="0.2">
      <c r="A12" s="22" t="s">
        <v>53</v>
      </c>
      <c r="B12" s="23">
        <v>46263</v>
      </c>
      <c r="C12">
        <v>57.181899999999999</v>
      </c>
      <c r="D12">
        <v>-3.7286299999999999</v>
      </c>
      <c r="E12" s="24">
        <v>6</v>
      </c>
      <c r="F12" s="22">
        <v>35</v>
      </c>
      <c r="G12" s="24">
        <v>5.2</v>
      </c>
      <c r="H12" s="25">
        <v>50</v>
      </c>
      <c r="I12" s="24">
        <v>22.8</v>
      </c>
      <c r="J12" s="27"/>
      <c r="K12" s="25">
        <v>13.6</v>
      </c>
      <c r="L12">
        <v>1.65</v>
      </c>
      <c r="M12">
        <v>1.4</v>
      </c>
      <c r="N12">
        <v>5.0000000000000001E-4</v>
      </c>
      <c r="O12">
        <v>-5.0000000000000001E-3</v>
      </c>
    </row>
    <row r="13" spans="1:15" x14ac:dyDescent="0.2">
      <c r="A13" s="22" t="s">
        <v>54</v>
      </c>
      <c r="B13" s="23">
        <v>46263</v>
      </c>
      <c r="C13">
        <v>57.182009999999998</v>
      </c>
      <c r="D13">
        <v>-3.7299799999999999</v>
      </c>
      <c r="E13" s="24">
        <v>12</v>
      </c>
      <c r="F13" s="22">
        <v>45</v>
      </c>
      <c r="G13" s="24">
        <v>4.8</v>
      </c>
      <c r="H13" s="25">
        <v>42</v>
      </c>
      <c r="I13" s="26"/>
      <c r="J13" s="27"/>
      <c r="K13" s="25">
        <v>9.5</v>
      </c>
      <c r="L13">
        <v>271.39999999999998</v>
      </c>
      <c r="M13">
        <v>266</v>
      </c>
      <c r="N13">
        <v>1.774</v>
      </c>
      <c r="O13">
        <v>1.758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B4D87-E123-D44B-9E53-B8BF14F3DB9C}">
  <dimension ref="A1:P73"/>
  <sheetViews>
    <sheetView topLeftCell="B1" zoomScaleNormal="100" zoomScaleSheetLayoutView="100" workbookViewId="0">
      <selection activeCell="G56" sqref="G56"/>
    </sheetView>
  </sheetViews>
  <sheetFormatPr baseColWidth="10" defaultColWidth="8.83203125" defaultRowHeight="16" x14ac:dyDescent="0.2"/>
  <cols>
    <col min="1" max="1" width="4" bestFit="1" customWidth="1"/>
    <col min="2" max="2" width="11.33203125" bestFit="1" customWidth="1"/>
    <col min="3" max="3" width="23.1640625" bestFit="1" customWidth="1"/>
    <col min="4" max="4" width="22.1640625" bestFit="1" customWidth="1"/>
    <col min="5" max="5" width="10.6640625" bestFit="1" customWidth="1"/>
    <col min="6" max="6" width="12.5" bestFit="1" customWidth="1"/>
    <col min="7" max="7" width="68.5" bestFit="1" customWidth="1"/>
    <col min="8" max="8" width="123" customWidth="1"/>
    <col min="9" max="9" width="11.33203125" customWidth="1"/>
    <col min="10" max="10" width="13.1640625" customWidth="1"/>
    <col min="11" max="11" width="13.6640625" customWidth="1"/>
    <col min="13" max="13" width="14.1640625" customWidth="1"/>
    <col min="14" max="14" width="15.5" customWidth="1"/>
    <col min="15" max="15" width="17.6640625" customWidth="1"/>
    <col min="16" max="16" width="21.6640625" bestFit="1" customWidth="1"/>
    <col min="18" max="18" width="10.83203125" bestFit="1" customWidth="1"/>
    <col min="19" max="19" width="13.6640625" bestFit="1" customWidth="1"/>
    <col min="20" max="20" width="21.6640625" bestFit="1" customWidth="1"/>
    <col min="21" max="21" width="14.83203125" bestFit="1" customWidth="1"/>
  </cols>
  <sheetData>
    <row r="1" spans="1:11" x14ac:dyDescent="0.2">
      <c r="A1" t="s">
        <v>2</v>
      </c>
      <c r="B1" t="s">
        <v>149</v>
      </c>
      <c r="C1" t="s">
        <v>150</v>
      </c>
      <c r="D1" t="s">
        <v>151</v>
      </c>
      <c r="E1" t="s">
        <v>114</v>
      </c>
      <c r="F1" t="s">
        <v>152</v>
      </c>
      <c r="G1" t="s">
        <v>148</v>
      </c>
      <c r="H1" s="13" t="s">
        <v>109</v>
      </c>
    </row>
    <row r="2" spans="1:11" ht="29" x14ac:dyDescent="0.2">
      <c r="A2" t="s">
        <v>51</v>
      </c>
      <c r="B2" t="s">
        <v>115</v>
      </c>
      <c r="C2" t="s">
        <v>81</v>
      </c>
      <c r="D2" t="s">
        <v>28</v>
      </c>
      <c r="E2">
        <v>7</v>
      </c>
      <c r="F2" t="s">
        <v>116</v>
      </c>
      <c r="H2" s="14" t="s">
        <v>80</v>
      </c>
      <c r="I2" s="14" t="s">
        <v>110</v>
      </c>
      <c r="J2" s="14" t="s">
        <v>111</v>
      </c>
      <c r="K2" s="14" t="s">
        <v>112</v>
      </c>
    </row>
    <row r="3" spans="1:11" x14ac:dyDescent="0.2">
      <c r="A3" t="s">
        <v>51</v>
      </c>
      <c r="B3" t="s">
        <v>82</v>
      </c>
      <c r="C3" t="s">
        <v>83</v>
      </c>
      <c r="D3" t="s">
        <v>82</v>
      </c>
      <c r="E3">
        <v>5</v>
      </c>
      <c r="F3" t="s">
        <v>116</v>
      </c>
      <c r="H3" s="6" t="s">
        <v>51</v>
      </c>
      <c r="I3" s="12">
        <v>46263</v>
      </c>
      <c r="J3" s="6">
        <v>8</v>
      </c>
      <c r="K3" s="6">
        <v>14</v>
      </c>
    </row>
    <row r="4" spans="1:11" x14ac:dyDescent="0.2">
      <c r="A4" t="s">
        <v>51</v>
      </c>
      <c r="B4" t="s">
        <v>117</v>
      </c>
      <c r="C4" t="s">
        <v>118</v>
      </c>
      <c r="D4" t="s">
        <v>84</v>
      </c>
      <c r="E4">
        <v>5</v>
      </c>
      <c r="F4" t="s">
        <v>119</v>
      </c>
      <c r="G4" t="s">
        <v>155</v>
      </c>
      <c r="H4" s="6" t="s">
        <v>52</v>
      </c>
      <c r="I4" s="12">
        <v>46263</v>
      </c>
      <c r="J4" s="6">
        <v>3</v>
      </c>
      <c r="K4" s="6">
        <v>4</v>
      </c>
    </row>
    <row r="5" spans="1:11" x14ac:dyDescent="0.2">
      <c r="A5" t="s">
        <v>51</v>
      </c>
      <c r="B5" t="s">
        <v>120</v>
      </c>
      <c r="C5" t="s">
        <v>85</v>
      </c>
      <c r="D5" t="s">
        <v>154</v>
      </c>
      <c r="E5">
        <v>4</v>
      </c>
      <c r="F5" t="s">
        <v>119</v>
      </c>
      <c r="G5" t="s">
        <v>153</v>
      </c>
      <c r="H5" s="6" t="s">
        <v>53</v>
      </c>
      <c r="I5" s="12">
        <v>46263</v>
      </c>
      <c r="J5" s="6">
        <v>6</v>
      </c>
      <c r="K5" s="6">
        <v>11</v>
      </c>
    </row>
    <row r="6" spans="1:11" x14ac:dyDescent="0.2">
      <c r="A6" t="s">
        <v>51</v>
      </c>
      <c r="B6" t="s">
        <v>120</v>
      </c>
      <c r="C6" t="s">
        <v>85</v>
      </c>
      <c r="D6" t="s">
        <v>26</v>
      </c>
      <c r="E6">
        <v>5</v>
      </c>
      <c r="F6" t="s">
        <v>119</v>
      </c>
      <c r="H6" s="6" t="s">
        <v>54</v>
      </c>
      <c r="I6" s="12">
        <v>46263</v>
      </c>
      <c r="J6" s="6">
        <v>3</v>
      </c>
      <c r="K6" s="6">
        <v>7</v>
      </c>
    </row>
    <row r="7" spans="1:11" x14ac:dyDescent="0.2">
      <c r="A7" t="s">
        <v>51</v>
      </c>
      <c r="B7" t="s">
        <v>122</v>
      </c>
      <c r="C7" t="s">
        <v>86</v>
      </c>
      <c r="D7" t="s">
        <v>87</v>
      </c>
      <c r="E7">
        <v>2</v>
      </c>
      <c r="F7" t="s">
        <v>123</v>
      </c>
      <c r="H7" s="20"/>
      <c r="I7" s="12"/>
      <c r="J7" s="20"/>
      <c r="K7" s="20"/>
    </row>
    <row r="8" spans="1:11" x14ac:dyDescent="0.2">
      <c r="A8" t="s">
        <v>51</v>
      </c>
      <c r="B8" t="s">
        <v>124</v>
      </c>
      <c r="C8" t="s">
        <v>88</v>
      </c>
      <c r="D8" t="s">
        <v>17</v>
      </c>
      <c r="E8">
        <v>1</v>
      </c>
      <c r="F8" t="s">
        <v>116</v>
      </c>
      <c r="H8" s="6" t="s">
        <v>55</v>
      </c>
      <c r="I8" s="12">
        <v>46265</v>
      </c>
      <c r="J8" s="6">
        <v>4</v>
      </c>
      <c r="K8" s="6">
        <v>7</v>
      </c>
    </row>
    <row r="9" spans="1:11" x14ac:dyDescent="0.2">
      <c r="A9" t="s">
        <v>51</v>
      </c>
      <c r="B9" t="s">
        <v>125</v>
      </c>
      <c r="C9" t="s">
        <v>89</v>
      </c>
      <c r="D9" t="s">
        <v>90</v>
      </c>
      <c r="E9">
        <v>1</v>
      </c>
      <c r="F9" t="s">
        <v>123</v>
      </c>
      <c r="H9" s="6" t="s">
        <v>56</v>
      </c>
      <c r="I9" s="12">
        <v>46265</v>
      </c>
      <c r="J9" s="6">
        <v>6</v>
      </c>
      <c r="K9" s="6">
        <v>25</v>
      </c>
    </row>
    <row r="10" spans="1:11" x14ac:dyDescent="0.2">
      <c r="A10" t="s">
        <v>51</v>
      </c>
      <c r="B10" t="s">
        <v>92</v>
      </c>
      <c r="C10" t="s">
        <v>91</v>
      </c>
      <c r="D10" t="s">
        <v>126</v>
      </c>
      <c r="E10">
        <v>2</v>
      </c>
      <c r="F10" t="s">
        <v>119</v>
      </c>
      <c r="G10" t="s">
        <v>171</v>
      </c>
      <c r="H10" s="6" t="s">
        <v>57</v>
      </c>
      <c r="I10" s="12">
        <v>46265</v>
      </c>
      <c r="J10" s="6">
        <v>2</v>
      </c>
      <c r="K10" s="6">
        <v>5</v>
      </c>
    </row>
    <row r="11" spans="1:11" x14ac:dyDescent="0.2">
      <c r="A11" t="s">
        <v>51</v>
      </c>
      <c r="B11" t="s">
        <v>127</v>
      </c>
      <c r="C11" t="s">
        <v>93</v>
      </c>
      <c r="D11" t="s">
        <v>94</v>
      </c>
      <c r="E11">
        <v>1</v>
      </c>
      <c r="F11" t="s">
        <v>116</v>
      </c>
      <c r="H11" s="6" t="s">
        <v>58</v>
      </c>
      <c r="I11" s="12">
        <v>46265</v>
      </c>
      <c r="J11" s="6">
        <v>2</v>
      </c>
      <c r="K11" s="6">
        <v>12</v>
      </c>
    </row>
    <row r="12" spans="1:11" x14ac:dyDescent="0.2">
      <c r="A12" t="s">
        <v>51</v>
      </c>
      <c r="B12" t="s">
        <v>49</v>
      </c>
      <c r="C12" t="s">
        <v>95</v>
      </c>
      <c r="D12" t="s">
        <v>96</v>
      </c>
      <c r="E12">
        <v>2</v>
      </c>
      <c r="F12" t="s">
        <v>119</v>
      </c>
      <c r="H12" s="6" t="s">
        <v>59</v>
      </c>
      <c r="I12" s="12">
        <v>46265</v>
      </c>
      <c r="J12" s="6">
        <v>2</v>
      </c>
      <c r="K12" s="6">
        <v>2</v>
      </c>
    </row>
    <row r="13" spans="1:11" x14ac:dyDescent="0.2">
      <c r="A13" t="s">
        <v>51</v>
      </c>
      <c r="B13" t="s">
        <v>128</v>
      </c>
      <c r="C13" t="s">
        <v>97</v>
      </c>
      <c r="D13" t="s">
        <v>98</v>
      </c>
      <c r="E13">
        <v>2</v>
      </c>
      <c r="F13" t="s">
        <v>123</v>
      </c>
      <c r="H13" s="6" t="s">
        <v>60</v>
      </c>
      <c r="I13" s="12">
        <v>46265</v>
      </c>
      <c r="J13" s="6">
        <v>2</v>
      </c>
      <c r="K13" s="6">
        <v>7</v>
      </c>
    </row>
    <row r="14" spans="1:11" x14ac:dyDescent="0.2">
      <c r="A14" t="s">
        <v>51</v>
      </c>
      <c r="B14" t="s">
        <v>120</v>
      </c>
      <c r="C14" t="s">
        <v>99</v>
      </c>
      <c r="D14" t="s">
        <v>100</v>
      </c>
      <c r="E14">
        <v>1</v>
      </c>
      <c r="F14" t="s">
        <v>123</v>
      </c>
    </row>
    <row r="15" spans="1:11" x14ac:dyDescent="0.2">
      <c r="A15" t="s">
        <v>51</v>
      </c>
      <c r="B15" t="s">
        <v>102</v>
      </c>
      <c r="C15" t="s">
        <v>101</v>
      </c>
      <c r="D15" t="s">
        <v>102</v>
      </c>
      <c r="E15">
        <v>1</v>
      </c>
      <c r="F15" t="s">
        <v>116</v>
      </c>
    </row>
    <row r="16" spans="1:11" x14ac:dyDescent="0.2">
      <c r="A16" t="s">
        <v>52</v>
      </c>
      <c r="B16" t="s">
        <v>120</v>
      </c>
      <c r="C16" t="s">
        <v>85</v>
      </c>
      <c r="D16" t="s">
        <v>121</v>
      </c>
      <c r="E16">
        <v>1</v>
      </c>
      <c r="F16" t="s">
        <v>119</v>
      </c>
    </row>
    <row r="17" spans="1:16" x14ac:dyDescent="0.2">
      <c r="A17" t="s">
        <v>52</v>
      </c>
      <c r="B17" t="s">
        <v>122</v>
      </c>
      <c r="C17" t="s">
        <v>86</v>
      </c>
      <c r="D17" t="s">
        <v>87</v>
      </c>
      <c r="E17">
        <v>1</v>
      </c>
      <c r="F17" t="s">
        <v>123</v>
      </c>
      <c r="H17" s="2" t="s">
        <v>163</v>
      </c>
    </row>
    <row r="18" spans="1:16" x14ac:dyDescent="0.2">
      <c r="A18" t="s">
        <v>52</v>
      </c>
      <c r="B18" t="s">
        <v>120</v>
      </c>
      <c r="C18" t="s">
        <v>85</v>
      </c>
      <c r="D18" t="s">
        <v>26</v>
      </c>
      <c r="E18">
        <v>1</v>
      </c>
      <c r="F18" t="s">
        <v>119</v>
      </c>
      <c r="H18" s="13" t="s">
        <v>164</v>
      </c>
    </row>
    <row r="19" spans="1:16" x14ac:dyDescent="0.2">
      <c r="A19" t="s">
        <v>52</v>
      </c>
      <c r="B19" t="s">
        <v>129</v>
      </c>
      <c r="C19" t="s">
        <v>103</v>
      </c>
      <c r="D19" t="s">
        <v>22</v>
      </c>
      <c r="E19">
        <v>1</v>
      </c>
      <c r="F19" t="s">
        <v>123</v>
      </c>
    </row>
    <row r="20" spans="1:16" x14ac:dyDescent="0.2">
      <c r="A20" t="s">
        <v>53</v>
      </c>
      <c r="B20" t="s">
        <v>115</v>
      </c>
      <c r="C20" t="s">
        <v>81</v>
      </c>
      <c r="D20" t="s">
        <v>28</v>
      </c>
      <c r="E20">
        <v>6</v>
      </c>
      <c r="F20" t="s">
        <v>116</v>
      </c>
      <c r="H20" s="2" t="s">
        <v>165</v>
      </c>
    </row>
    <row r="21" spans="1:16" x14ac:dyDescent="0.2">
      <c r="A21" t="s">
        <v>53</v>
      </c>
      <c r="B21" t="s">
        <v>117</v>
      </c>
      <c r="C21" t="s">
        <v>118</v>
      </c>
      <c r="D21" t="s">
        <v>84</v>
      </c>
      <c r="E21">
        <v>2</v>
      </c>
      <c r="F21" t="s">
        <v>119</v>
      </c>
      <c r="G21" t="s">
        <v>155</v>
      </c>
    </row>
    <row r="22" spans="1:16" x14ac:dyDescent="0.2">
      <c r="A22" t="s">
        <v>53</v>
      </c>
      <c r="B22" t="s">
        <v>120</v>
      </c>
      <c r="C22" t="s">
        <v>85</v>
      </c>
      <c r="D22" t="s">
        <v>121</v>
      </c>
      <c r="E22">
        <v>1</v>
      </c>
      <c r="F22" t="s">
        <v>119</v>
      </c>
      <c r="H22" t="s">
        <v>159</v>
      </c>
    </row>
    <row r="23" spans="1:16" x14ac:dyDescent="0.2">
      <c r="A23" t="s">
        <v>53</v>
      </c>
      <c r="B23" t="s">
        <v>120</v>
      </c>
      <c r="C23" t="s">
        <v>85</v>
      </c>
      <c r="D23" t="s">
        <v>26</v>
      </c>
      <c r="E23">
        <v>1</v>
      </c>
      <c r="F23" t="s">
        <v>119</v>
      </c>
    </row>
    <row r="24" spans="1:16" x14ac:dyDescent="0.2">
      <c r="A24" t="s">
        <v>53</v>
      </c>
      <c r="B24" t="s">
        <v>124</v>
      </c>
      <c r="C24" t="s">
        <v>88</v>
      </c>
      <c r="D24" t="s">
        <v>17</v>
      </c>
      <c r="E24">
        <v>4</v>
      </c>
      <c r="F24" t="s">
        <v>116</v>
      </c>
      <c r="O24" s="2"/>
      <c r="P24" s="2"/>
    </row>
    <row r="25" spans="1:16" x14ac:dyDescent="0.2">
      <c r="A25" t="s">
        <v>53</v>
      </c>
      <c r="B25" t="s">
        <v>129</v>
      </c>
      <c r="C25" t="s">
        <v>103</v>
      </c>
      <c r="D25" t="s">
        <v>22</v>
      </c>
      <c r="E25">
        <v>1</v>
      </c>
      <c r="F25" t="s">
        <v>123</v>
      </c>
      <c r="H25" t="s">
        <v>161</v>
      </c>
    </row>
    <row r="26" spans="1:16" x14ac:dyDescent="0.2">
      <c r="A26" t="s">
        <v>53</v>
      </c>
      <c r="B26" t="s">
        <v>125</v>
      </c>
      <c r="C26" t="s">
        <v>89</v>
      </c>
      <c r="D26" t="s">
        <v>90</v>
      </c>
      <c r="E26">
        <v>1</v>
      </c>
      <c r="F26" t="s">
        <v>123</v>
      </c>
      <c r="H26" t="s">
        <v>166</v>
      </c>
    </row>
    <row r="27" spans="1:16" x14ac:dyDescent="0.2">
      <c r="A27" t="s">
        <v>53</v>
      </c>
      <c r="B27" t="s">
        <v>92</v>
      </c>
      <c r="C27" t="s">
        <v>91</v>
      </c>
      <c r="D27" t="s">
        <v>126</v>
      </c>
      <c r="E27">
        <v>1</v>
      </c>
      <c r="F27" t="s">
        <v>119</v>
      </c>
    </row>
    <row r="28" spans="1:16" x14ac:dyDescent="0.2">
      <c r="A28" t="s">
        <v>53</v>
      </c>
      <c r="B28" t="s">
        <v>130</v>
      </c>
      <c r="C28" t="s">
        <v>104</v>
      </c>
      <c r="D28" t="s">
        <v>105</v>
      </c>
      <c r="E28">
        <v>1</v>
      </c>
      <c r="F28" t="s">
        <v>123</v>
      </c>
    </row>
    <row r="29" spans="1:16" x14ac:dyDescent="0.2">
      <c r="A29" t="s">
        <v>53</v>
      </c>
      <c r="B29" t="s">
        <v>49</v>
      </c>
      <c r="C29" t="s">
        <v>95</v>
      </c>
      <c r="D29" t="s">
        <v>96</v>
      </c>
      <c r="E29">
        <v>1</v>
      </c>
      <c r="F29" t="s">
        <v>119</v>
      </c>
      <c r="H29" t="s">
        <v>162</v>
      </c>
    </row>
    <row r="30" spans="1:16" x14ac:dyDescent="0.2">
      <c r="A30" t="s">
        <v>53</v>
      </c>
      <c r="B30" t="s">
        <v>128</v>
      </c>
      <c r="C30" t="s">
        <v>97</v>
      </c>
      <c r="D30" t="s">
        <v>98</v>
      </c>
      <c r="E30">
        <v>2</v>
      </c>
      <c r="F30" t="s">
        <v>123</v>
      </c>
      <c r="H30" t="s">
        <v>146</v>
      </c>
    </row>
    <row r="31" spans="1:16" x14ac:dyDescent="0.2">
      <c r="A31" t="s">
        <v>54</v>
      </c>
      <c r="B31" t="s">
        <v>115</v>
      </c>
      <c r="C31" t="s">
        <v>81</v>
      </c>
      <c r="D31" t="s">
        <v>28</v>
      </c>
      <c r="E31">
        <v>2</v>
      </c>
      <c r="F31" t="s">
        <v>116</v>
      </c>
      <c r="H31" t="s">
        <v>147</v>
      </c>
    </row>
    <row r="32" spans="1:16" x14ac:dyDescent="0.2">
      <c r="A32" t="s">
        <v>54</v>
      </c>
      <c r="B32" t="s">
        <v>117</v>
      </c>
      <c r="C32" t="s">
        <v>118</v>
      </c>
      <c r="D32" t="s">
        <v>84</v>
      </c>
      <c r="E32">
        <v>3</v>
      </c>
      <c r="F32" t="s">
        <v>119</v>
      </c>
      <c r="G32" t="s">
        <v>155</v>
      </c>
    </row>
    <row r="33" spans="1:14" x14ac:dyDescent="0.2">
      <c r="A33" t="s">
        <v>54</v>
      </c>
      <c r="B33" t="s">
        <v>120</v>
      </c>
      <c r="C33" t="s">
        <v>85</v>
      </c>
      <c r="D33" t="s">
        <v>121</v>
      </c>
      <c r="E33">
        <v>3</v>
      </c>
      <c r="F33" t="s">
        <v>119</v>
      </c>
      <c r="H33" s="2" t="s">
        <v>160</v>
      </c>
    </row>
    <row r="34" spans="1:14" x14ac:dyDescent="0.2">
      <c r="A34" t="s">
        <v>54</v>
      </c>
      <c r="B34" t="s">
        <v>122</v>
      </c>
      <c r="C34" t="s">
        <v>86</v>
      </c>
      <c r="D34" t="s">
        <v>87</v>
      </c>
      <c r="E34">
        <v>2</v>
      </c>
      <c r="F34" t="s">
        <v>123</v>
      </c>
      <c r="H34" t="s">
        <v>169</v>
      </c>
    </row>
    <row r="35" spans="1:14" ht="51" x14ac:dyDescent="0.2">
      <c r="A35" t="s">
        <v>54</v>
      </c>
      <c r="B35" t="s">
        <v>120</v>
      </c>
      <c r="C35" t="s">
        <v>85</v>
      </c>
      <c r="D35" t="s">
        <v>26</v>
      </c>
      <c r="E35">
        <v>3</v>
      </c>
      <c r="F35" t="s">
        <v>119</v>
      </c>
      <c r="H35" s="3" t="s">
        <v>167</v>
      </c>
    </row>
    <row r="36" spans="1:14" x14ac:dyDescent="0.2">
      <c r="A36" t="s">
        <v>54</v>
      </c>
      <c r="B36" t="s">
        <v>124</v>
      </c>
      <c r="C36" t="s">
        <v>88</v>
      </c>
      <c r="D36" t="s">
        <v>17</v>
      </c>
      <c r="E36">
        <v>2</v>
      </c>
      <c r="F36" t="s">
        <v>116</v>
      </c>
      <c r="H36" t="s">
        <v>170</v>
      </c>
    </row>
    <row r="37" spans="1:14" x14ac:dyDescent="0.2">
      <c r="A37" t="s">
        <v>54</v>
      </c>
      <c r="B37" t="s">
        <v>92</v>
      </c>
      <c r="C37" t="s">
        <v>91</v>
      </c>
      <c r="D37" t="s">
        <v>126</v>
      </c>
      <c r="E37">
        <v>1</v>
      </c>
      <c r="F37" t="s">
        <v>119</v>
      </c>
      <c r="H37" t="s">
        <v>168</v>
      </c>
    </row>
    <row r="38" spans="1:14" x14ac:dyDescent="0.2">
      <c r="A38" t="s">
        <v>55</v>
      </c>
      <c r="B38" t="s">
        <v>124</v>
      </c>
      <c r="C38" t="s">
        <v>88</v>
      </c>
      <c r="D38" t="s">
        <v>17</v>
      </c>
      <c r="E38">
        <v>3</v>
      </c>
      <c r="F38" t="s">
        <v>116</v>
      </c>
      <c r="I38" s="2"/>
      <c r="J38" s="2"/>
      <c r="K38" s="2"/>
      <c r="L38" s="2"/>
      <c r="M38" s="2"/>
      <c r="N38" s="2"/>
    </row>
    <row r="39" spans="1:14" x14ac:dyDescent="0.2">
      <c r="A39" t="s">
        <v>55</v>
      </c>
      <c r="B39" t="s">
        <v>92</v>
      </c>
      <c r="C39" t="s">
        <v>131</v>
      </c>
      <c r="D39" t="s">
        <v>18</v>
      </c>
      <c r="E39">
        <v>1</v>
      </c>
      <c r="F39" t="s">
        <v>116</v>
      </c>
    </row>
    <row r="40" spans="1:14" x14ac:dyDescent="0.2">
      <c r="A40" t="s">
        <v>55</v>
      </c>
      <c r="B40" t="s">
        <v>128</v>
      </c>
      <c r="C40" t="s">
        <v>97</v>
      </c>
      <c r="D40" t="s">
        <v>98</v>
      </c>
      <c r="E40">
        <v>3</v>
      </c>
      <c r="F40" t="s">
        <v>116</v>
      </c>
    </row>
    <row r="41" spans="1:14" x14ac:dyDescent="0.2">
      <c r="A41" t="s">
        <v>56</v>
      </c>
      <c r="B41" t="s">
        <v>124</v>
      </c>
      <c r="C41" t="s">
        <v>88</v>
      </c>
      <c r="D41" t="s">
        <v>17</v>
      </c>
      <c r="E41">
        <v>1</v>
      </c>
      <c r="F41" t="s">
        <v>116</v>
      </c>
    </row>
    <row r="42" spans="1:14" x14ac:dyDescent="0.2">
      <c r="A42" t="s">
        <v>56</v>
      </c>
      <c r="B42" t="s">
        <v>92</v>
      </c>
      <c r="C42" t="s">
        <v>131</v>
      </c>
      <c r="D42" t="s">
        <v>18</v>
      </c>
      <c r="E42">
        <v>2</v>
      </c>
      <c r="F42" t="s">
        <v>116</v>
      </c>
    </row>
    <row r="43" spans="1:14" x14ac:dyDescent="0.2">
      <c r="A43" t="s">
        <v>56</v>
      </c>
      <c r="B43" t="s">
        <v>128</v>
      </c>
      <c r="C43" t="s">
        <v>97</v>
      </c>
      <c r="D43" t="s">
        <v>98</v>
      </c>
      <c r="E43">
        <v>3</v>
      </c>
      <c r="F43" t="s">
        <v>116</v>
      </c>
    </row>
    <row r="44" spans="1:14" x14ac:dyDescent="0.2">
      <c r="A44" t="s">
        <v>56</v>
      </c>
      <c r="B44" t="s">
        <v>82</v>
      </c>
      <c r="C44" t="s">
        <v>83</v>
      </c>
      <c r="D44" t="s">
        <v>132</v>
      </c>
      <c r="E44">
        <v>3</v>
      </c>
      <c r="F44" t="s">
        <v>116</v>
      </c>
    </row>
    <row r="45" spans="1:14" x14ac:dyDescent="0.2">
      <c r="A45" t="s">
        <v>56</v>
      </c>
      <c r="B45" t="s">
        <v>125</v>
      </c>
      <c r="C45" t="s">
        <v>133</v>
      </c>
      <c r="D45" t="s">
        <v>19</v>
      </c>
      <c r="E45">
        <v>3</v>
      </c>
      <c r="F45" t="s">
        <v>116</v>
      </c>
    </row>
    <row r="46" spans="1:14" x14ac:dyDescent="0.2">
      <c r="A46" t="s">
        <v>56</v>
      </c>
      <c r="B46" t="s">
        <v>129</v>
      </c>
      <c r="C46" t="s">
        <v>103</v>
      </c>
      <c r="D46" t="s">
        <v>22</v>
      </c>
      <c r="E46">
        <v>1</v>
      </c>
      <c r="F46" t="s">
        <v>116</v>
      </c>
    </row>
    <row r="47" spans="1:14" x14ac:dyDescent="0.2">
      <c r="A47" t="s">
        <v>56</v>
      </c>
      <c r="B47" t="s">
        <v>134</v>
      </c>
      <c r="C47" t="s">
        <v>135</v>
      </c>
      <c r="D47" t="s">
        <v>23</v>
      </c>
      <c r="E47">
        <v>1</v>
      </c>
      <c r="F47" t="s">
        <v>116</v>
      </c>
      <c r="G47" t="s">
        <v>157</v>
      </c>
    </row>
    <row r="48" spans="1:14" x14ac:dyDescent="0.2">
      <c r="A48" t="s">
        <v>56</v>
      </c>
      <c r="B48" t="s">
        <v>115</v>
      </c>
      <c r="C48" t="s">
        <v>81</v>
      </c>
      <c r="D48" t="s">
        <v>136</v>
      </c>
      <c r="E48">
        <v>3</v>
      </c>
      <c r="F48" t="s">
        <v>116</v>
      </c>
    </row>
    <row r="49" spans="1:7" x14ac:dyDescent="0.2">
      <c r="A49" t="s">
        <v>56</v>
      </c>
      <c r="B49" t="s">
        <v>120</v>
      </c>
      <c r="C49" t="s">
        <v>85</v>
      </c>
      <c r="D49" t="s">
        <v>26</v>
      </c>
      <c r="E49">
        <v>2</v>
      </c>
      <c r="F49" t="s">
        <v>119</v>
      </c>
    </row>
    <row r="50" spans="1:7" x14ac:dyDescent="0.2">
      <c r="A50" t="s">
        <v>56</v>
      </c>
      <c r="B50" t="s">
        <v>92</v>
      </c>
      <c r="C50" t="s">
        <v>137</v>
      </c>
      <c r="D50" t="s">
        <v>37</v>
      </c>
      <c r="E50">
        <v>2</v>
      </c>
      <c r="F50" t="s">
        <v>116</v>
      </c>
    </row>
    <row r="51" spans="1:7" x14ac:dyDescent="0.2">
      <c r="A51" t="s">
        <v>56</v>
      </c>
      <c r="B51" t="s">
        <v>138</v>
      </c>
      <c r="C51" t="s">
        <v>139</v>
      </c>
      <c r="D51" t="s">
        <v>40</v>
      </c>
      <c r="E51">
        <v>2</v>
      </c>
      <c r="F51" t="s">
        <v>116</v>
      </c>
      <c r="G51" t="s">
        <v>172</v>
      </c>
    </row>
    <row r="52" spans="1:7" x14ac:dyDescent="0.2">
      <c r="A52" t="s">
        <v>56</v>
      </c>
      <c r="B52" t="s">
        <v>127</v>
      </c>
      <c r="C52" t="s">
        <v>93</v>
      </c>
      <c r="D52" t="s">
        <v>94</v>
      </c>
      <c r="E52">
        <v>2</v>
      </c>
      <c r="F52" t="s">
        <v>116</v>
      </c>
    </row>
    <row r="53" spans="1:7" x14ac:dyDescent="0.2">
      <c r="A53" t="s">
        <v>57</v>
      </c>
      <c r="B53" t="s">
        <v>82</v>
      </c>
      <c r="C53" t="s">
        <v>83</v>
      </c>
      <c r="D53" t="s">
        <v>21</v>
      </c>
      <c r="E53">
        <v>1</v>
      </c>
      <c r="F53" t="s">
        <v>116</v>
      </c>
    </row>
    <row r="54" spans="1:7" x14ac:dyDescent="0.2">
      <c r="A54" t="s">
        <v>57</v>
      </c>
      <c r="B54" t="s">
        <v>125</v>
      </c>
      <c r="C54" t="s">
        <v>133</v>
      </c>
      <c r="D54" t="s">
        <v>19</v>
      </c>
      <c r="E54">
        <v>1</v>
      </c>
      <c r="F54" t="s">
        <v>116</v>
      </c>
    </row>
    <row r="55" spans="1:7" x14ac:dyDescent="0.2">
      <c r="A55" t="s">
        <v>57</v>
      </c>
      <c r="B55" t="s">
        <v>134</v>
      </c>
      <c r="C55" t="s">
        <v>135</v>
      </c>
      <c r="D55" t="s">
        <v>23</v>
      </c>
      <c r="E55">
        <v>1</v>
      </c>
      <c r="F55" t="s">
        <v>116</v>
      </c>
    </row>
    <row r="56" spans="1:7" x14ac:dyDescent="0.2">
      <c r="A56" t="s">
        <v>57</v>
      </c>
      <c r="B56" t="s">
        <v>115</v>
      </c>
      <c r="C56" t="s">
        <v>81</v>
      </c>
      <c r="D56" t="s">
        <v>24</v>
      </c>
      <c r="E56">
        <v>1</v>
      </c>
      <c r="F56" t="s">
        <v>116</v>
      </c>
    </row>
    <row r="57" spans="1:7" x14ac:dyDescent="0.2">
      <c r="A57" t="s">
        <v>57</v>
      </c>
      <c r="B57" t="s">
        <v>49</v>
      </c>
      <c r="C57" t="s">
        <v>140</v>
      </c>
      <c r="D57" t="s">
        <v>141</v>
      </c>
      <c r="E57">
        <v>1</v>
      </c>
      <c r="F57" t="s">
        <v>119</v>
      </c>
      <c r="G57" t="s">
        <v>156</v>
      </c>
    </row>
    <row r="58" spans="1:7" x14ac:dyDescent="0.2">
      <c r="A58" t="s">
        <v>58</v>
      </c>
      <c r="B58" t="s">
        <v>124</v>
      </c>
      <c r="C58" t="s">
        <v>88</v>
      </c>
      <c r="D58" t="s">
        <v>17</v>
      </c>
      <c r="E58">
        <v>2</v>
      </c>
      <c r="F58" t="s">
        <v>116</v>
      </c>
    </row>
    <row r="59" spans="1:7" x14ac:dyDescent="0.2">
      <c r="A59" t="s">
        <v>58</v>
      </c>
      <c r="B59" t="s">
        <v>128</v>
      </c>
      <c r="C59" t="s">
        <v>97</v>
      </c>
      <c r="D59" t="s">
        <v>98</v>
      </c>
      <c r="E59">
        <v>1</v>
      </c>
      <c r="F59" t="s">
        <v>116</v>
      </c>
    </row>
    <row r="60" spans="1:7" x14ac:dyDescent="0.2">
      <c r="A60" t="s">
        <v>58</v>
      </c>
      <c r="B60" t="s">
        <v>82</v>
      </c>
      <c r="C60" t="s">
        <v>83</v>
      </c>
      <c r="D60" t="s">
        <v>132</v>
      </c>
      <c r="E60">
        <v>3</v>
      </c>
      <c r="F60" t="s">
        <v>116</v>
      </c>
    </row>
    <row r="61" spans="1:7" x14ac:dyDescent="0.2">
      <c r="A61" t="s">
        <v>58</v>
      </c>
      <c r="B61" t="s">
        <v>125</v>
      </c>
      <c r="C61" t="s">
        <v>133</v>
      </c>
      <c r="D61" t="s">
        <v>19</v>
      </c>
      <c r="E61">
        <v>1</v>
      </c>
      <c r="F61" t="s">
        <v>116</v>
      </c>
    </row>
    <row r="62" spans="1:7" x14ac:dyDescent="0.2">
      <c r="A62" t="s">
        <v>58</v>
      </c>
      <c r="B62" t="s">
        <v>115</v>
      </c>
      <c r="C62" t="s">
        <v>81</v>
      </c>
      <c r="D62" t="s">
        <v>28</v>
      </c>
      <c r="E62">
        <v>2</v>
      </c>
      <c r="F62" t="s">
        <v>116</v>
      </c>
    </row>
    <row r="63" spans="1:7" x14ac:dyDescent="0.2">
      <c r="A63" t="s">
        <v>58</v>
      </c>
      <c r="B63" t="s">
        <v>120</v>
      </c>
      <c r="C63" t="s">
        <v>85</v>
      </c>
      <c r="D63" t="s">
        <v>30</v>
      </c>
      <c r="E63">
        <v>1</v>
      </c>
      <c r="F63" t="s">
        <v>119</v>
      </c>
    </row>
    <row r="64" spans="1:7" x14ac:dyDescent="0.2">
      <c r="A64" t="s">
        <v>58</v>
      </c>
      <c r="B64" t="s">
        <v>92</v>
      </c>
      <c r="C64" t="s">
        <v>137</v>
      </c>
      <c r="D64" t="s">
        <v>37</v>
      </c>
      <c r="E64">
        <v>1</v>
      </c>
      <c r="F64" t="s">
        <v>116</v>
      </c>
    </row>
    <row r="65" spans="1:7" x14ac:dyDescent="0.2">
      <c r="A65" t="s">
        <v>58</v>
      </c>
      <c r="B65" t="s">
        <v>138</v>
      </c>
      <c r="C65" t="s">
        <v>139</v>
      </c>
      <c r="D65" t="s">
        <v>40</v>
      </c>
      <c r="E65">
        <v>1</v>
      </c>
      <c r="F65" t="s">
        <v>116</v>
      </c>
    </row>
    <row r="66" spans="1:7" x14ac:dyDescent="0.2">
      <c r="A66" t="s">
        <v>59</v>
      </c>
      <c r="B66" t="s">
        <v>128</v>
      </c>
      <c r="C66" t="s">
        <v>97</v>
      </c>
      <c r="D66" t="s">
        <v>98</v>
      </c>
      <c r="E66">
        <v>1</v>
      </c>
      <c r="F66" t="s">
        <v>116</v>
      </c>
    </row>
    <row r="67" spans="1:7" x14ac:dyDescent="0.2">
      <c r="A67" t="s">
        <v>59</v>
      </c>
      <c r="B67" t="s">
        <v>142</v>
      </c>
      <c r="C67" t="s">
        <v>143</v>
      </c>
      <c r="D67" t="s">
        <v>25</v>
      </c>
      <c r="E67">
        <v>1</v>
      </c>
      <c r="F67" t="s">
        <v>116</v>
      </c>
      <c r="G67" t="s">
        <v>158</v>
      </c>
    </row>
    <row r="68" spans="1:7" x14ac:dyDescent="0.2">
      <c r="A68" t="s">
        <v>60</v>
      </c>
      <c r="B68" t="s">
        <v>124</v>
      </c>
      <c r="C68" t="s">
        <v>88</v>
      </c>
      <c r="D68" t="s">
        <v>17</v>
      </c>
      <c r="E68">
        <v>1</v>
      </c>
      <c r="F68" t="s">
        <v>116</v>
      </c>
    </row>
    <row r="69" spans="1:7" x14ac:dyDescent="0.2">
      <c r="A69" t="s">
        <v>60</v>
      </c>
      <c r="B69" t="s">
        <v>92</v>
      </c>
      <c r="C69" t="s">
        <v>131</v>
      </c>
      <c r="D69" t="s">
        <v>18</v>
      </c>
      <c r="E69">
        <v>1</v>
      </c>
      <c r="F69" t="s">
        <v>116</v>
      </c>
    </row>
    <row r="70" spans="1:7" x14ac:dyDescent="0.2">
      <c r="A70" t="s">
        <v>60</v>
      </c>
      <c r="B70" t="s">
        <v>128</v>
      </c>
      <c r="C70" t="s">
        <v>97</v>
      </c>
      <c r="D70" t="s">
        <v>98</v>
      </c>
      <c r="E70">
        <v>1</v>
      </c>
      <c r="F70" t="s">
        <v>116</v>
      </c>
    </row>
    <row r="71" spans="1:7" x14ac:dyDescent="0.2">
      <c r="A71" t="s">
        <v>60</v>
      </c>
      <c r="B71" t="s">
        <v>115</v>
      </c>
      <c r="C71" t="s">
        <v>81</v>
      </c>
      <c r="D71" t="s">
        <v>136</v>
      </c>
      <c r="E71">
        <v>2</v>
      </c>
      <c r="F71" t="s">
        <v>116</v>
      </c>
    </row>
    <row r="72" spans="1:7" x14ac:dyDescent="0.2">
      <c r="A72" t="s">
        <v>60</v>
      </c>
      <c r="B72" t="s">
        <v>120</v>
      </c>
      <c r="C72" t="s">
        <v>85</v>
      </c>
      <c r="D72" t="s">
        <v>26</v>
      </c>
      <c r="E72">
        <v>1</v>
      </c>
      <c r="F72" t="s">
        <v>119</v>
      </c>
    </row>
    <row r="73" spans="1:7" x14ac:dyDescent="0.2">
      <c r="A73" t="s">
        <v>60</v>
      </c>
      <c r="B73" t="s">
        <v>49</v>
      </c>
      <c r="C73" t="s">
        <v>144</v>
      </c>
      <c r="D73" t="s">
        <v>145</v>
      </c>
      <c r="E73">
        <v>1</v>
      </c>
      <c r="F73" t="s">
        <v>119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25472-9420-CA47-A4F7-0E2278B3BA43}">
  <dimension ref="A1:H48"/>
  <sheetViews>
    <sheetView workbookViewId="0">
      <selection activeCell="F26" sqref="F26"/>
    </sheetView>
  </sheetViews>
  <sheetFormatPr baseColWidth="10" defaultColWidth="11" defaultRowHeight="16" x14ac:dyDescent="0.2"/>
  <cols>
    <col min="1" max="1" width="11" style="5"/>
    <col min="2" max="2" width="16.83203125" style="5" customWidth="1"/>
    <col min="3" max="3" width="20.6640625" style="5" customWidth="1"/>
    <col min="4" max="5" width="11" style="5"/>
    <col min="6" max="6" width="13.6640625" style="5" customWidth="1"/>
    <col min="7" max="7" width="21" style="5" customWidth="1"/>
    <col min="8" max="8" width="23.5" style="5" customWidth="1"/>
    <col min="9" max="16384" width="11" style="5"/>
  </cols>
  <sheetData>
    <row r="1" spans="1:8" x14ac:dyDescent="0.2">
      <c r="A1" s="4" t="s">
        <v>20</v>
      </c>
      <c r="B1" s="4" t="s">
        <v>9</v>
      </c>
      <c r="C1" s="4" t="s">
        <v>10</v>
      </c>
      <c r="D1" s="4" t="s">
        <v>183</v>
      </c>
      <c r="E1" s="4" t="s">
        <v>11</v>
      </c>
      <c r="F1" s="4" t="s">
        <v>27</v>
      </c>
      <c r="G1" s="4" t="s">
        <v>29</v>
      </c>
      <c r="H1" s="4" t="s">
        <v>32</v>
      </c>
    </row>
    <row r="2" spans="1:8" x14ac:dyDescent="0.2">
      <c r="A2" s="5" t="s">
        <v>57</v>
      </c>
      <c r="B2" s="5">
        <v>6.9</v>
      </c>
      <c r="C2" s="5">
        <v>0</v>
      </c>
      <c r="D2" s="5">
        <v>0</v>
      </c>
      <c r="E2" s="5">
        <v>0.191</v>
      </c>
      <c r="F2" s="29">
        <f>0.01*D3*C3/2</f>
        <v>7.4749999999999997E-2</v>
      </c>
      <c r="G2" s="29">
        <f>F2*E3</f>
        <v>1.427725E-2</v>
      </c>
      <c r="H2" s="29">
        <f>SUM(G2:G7)</f>
        <v>0.66110912499999996</v>
      </c>
    </row>
    <row r="3" spans="1:8" x14ac:dyDescent="0.2">
      <c r="A3" s="5" t="s">
        <v>57</v>
      </c>
      <c r="B3" s="5">
        <v>6.9</v>
      </c>
      <c r="C3" s="5">
        <v>1.1499999999999999</v>
      </c>
      <c r="D3" s="5">
        <v>13</v>
      </c>
      <c r="E3" s="5">
        <v>0.191</v>
      </c>
      <c r="F3" s="29">
        <f>C3*(0.01*(D3+D4)/2)</f>
        <v>0.25874999999999998</v>
      </c>
      <c r="G3" s="29">
        <f>F3*((E4+E3)/2)</f>
        <v>0.10233562499999999</v>
      </c>
      <c r="H3" s="29"/>
    </row>
    <row r="4" spans="1:8" x14ac:dyDescent="0.2">
      <c r="A4" s="5" t="s">
        <v>57</v>
      </c>
      <c r="B4" s="5">
        <v>6.9</v>
      </c>
      <c r="C4" s="5">
        <v>2.2999999999999998</v>
      </c>
      <c r="D4" s="5">
        <v>32</v>
      </c>
      <c r="E4" s="5">
        <v>0.6</v>
      </c>
      <c r="F4" s="29">
        <f>C3*(0.01*(D4+D5)/2)</f>
        <v>0.32200000000000001</v>
      </c>
      <c r="G4" s="29">
        <f>F4*((E4+E5)/2)</f>
        <v>0.18740399999999999</v>
      </c>
      <c r="H4" s="29"/>
    </row>
    <row r="5" spans="1:8" x14ac:dyDescent="0.2">
      <c r="A5" s="5" t="s">
        <v>57</v>
      </c>
      <c r="B5" s="5">
        <v>6.9</v>
      </c>
      <c r="C5" s="5">
        <v>3.45</v>
      </c>
      <c r="D5" s="5">
        <v>24</v>
      </c>
      <c r="E5" s="5">
        <v>0.56399999999999995</v>
      </c>
      <c r="F5" s="29">
        <f>C3*(0.01*(D5+D6)/2)</f>
        <v>0.27599999999999997</v>
      </c>
      <c r="G5" s="29">
        <f>F5*((E5+E6)/2)</f>
        <v>0.16242599999999999</v>
      </c>
      <c r="H5" s="29"/>
    </row>
    <row r="6" spans="1:8" x14ac:dyDescent="0.2">
      <c r="A6" s="5" t="s">
        <v>57</v>
      </c>
      <c r="B6" s="5">
        <v>6.9</v>
      </c>
      <c r="C6" s="5">
        <v>4.5999999999999996</v>
      </c>
      <c r="D6" s="5">
        <v>24</v>
      </c>
      <c r="E6" s="5">
        <v>0.61299999999999999</v>
      </c>
      <c r="F6" s="29">
        <f>C3*(0.01*(D6+D7)/2)</f>
        <v>0.24149999999999996</v>
      </c>
      <c r="G6" s="29">
        <f>F6*((E6+E7)/2)</f>
        <v>0.13898324999999997</v>
      </c>
      <c r="H6" s="29"/>
    </row>
    <row r="7" spans="1:8" x14ac:dyDescent="0.2">
      <c r="A7" s="5" t="s">
        <v>57</v>
      </c>
      <c r="B7" s="5">
        <v>6.9</v>
      </c>
      <c r="C7" s="5">
        <v>5.75</v>
      </c>
      <c r="D7" s="5">
        <v>18</v>
      </c>
      <c r="E7" s="5">
        <v>0.53800000000000003</v>
      </c>
      <c r="F7" s="29">
        <f>0.01*D7*C3/2</f>
        <v>0.10349999999999999</v>
      </c>
      <c r="G7" s="29">
        <f>E7*F7</f>
        <v>5.5683000000000003E-2</v>
      </c>
      <c r="H7" s="29"/>
    </row>
    <row r="8" spans="1:8" x14ac:dyDescent="0.2">
      <c r="A8" s="5" t="s">
        <v>56</v>
      </c>
      <c r="B8" s="5">
        <v>10</v>
      </c>
      <c r="C8" s="5">
        <v>0</v>
      </c>
      <c r="D8" s="5">
        <v>0</v>
      </c>
      <c r="F8" s="29">
        <f>0.01*C9*D9/2</f>
        <v>0.16699999999999998</v>
      </c>
      <c r="G8" s="29">
        <f>F8*E9</f>
        <v>8.8342999999999991E-2</v>
      </c>
      <c r="H8" s="29">
        <f>SUM(G8:G13)</f>
        <v>0.56182139999999992</v>
      </c>
    </row>
    <row r="9" spans="1:8" x14ac:dyDescent="0.2">
      <c r="A9" s="5" t="s">
        <v>56</v>
      </c>
      <c r="B9" s="5">
        <v>10</v>
      </c>
      <c r="C9" s="5">
        <f>1.67</f>
        <v>1.67</v>
      </c>
      <c r="D9" s="5">
        <v>20</v>
      </c>
      <c r="E9" s="5">
        <v>0.52900000000000003</v>
      </c>
      <c r="F9" s="29">
        <f>C9*(0.01*(D9+D10)/2)</f>
        <v>0.31729999999999997</v>
      </c>
      <c r="G9" s="29">
        <f>F9*((E9+E10)/2)</f>
        <v>0.14135714999999999</v>
      </c>
      <c r="H9" s="29"/>
    </row>
    <row r="10" spans="1:8" x14ac:dyDescent="0.2">
      <c r="A10" s="5" t="s">
        <v>56</v>
      </c>
      <c r="B10" s="5">
        <v>10</v>
      </c>
      <c r="C10" s="5">
        <f>1.67+1.67</f>
        <v>3.34</v>
      </c>
      <c r="D10" s="5">
        <v>18</v>
      </c>
      <c r="E10" s="5">
        <v>0.36199999999999999</v>
      </c>
      <c r="F10" s="29">
        <f>C9*(0.01*(D10+D11)/2)</f>
        <v>0.46760000000000002</v>
      </c>
      <c r="G10" s="29">
        <f>F10*((E10+E11)/2)</f>
        <v>0.1183028</v>
      </c>
      <c r="H10" s="29"/>
    </row>
    <row r="11" spans="1:8" x14ac:dyDescent="0.2">
      <c r="A11" s="5" t="s">
        <v>56</v>
      </c>
      <c r="B11" s="5">
        <v>10</v>
      </c>
      <c r="C11" s="5">
        <f>C10+C9</f>
        <v>5.01</v>
      </c>
      <c r="D11" s="5">
        <v>38</v>
      </c>
      <c r="E11" s="5">
        <v>0.14399999999999999</v>
      </c>
      <c r="F11" s="29">
        <f>C9*(0.01*(D11+D12)/2)</f>
        <v>0.90180000000000005</v>
      </c>
      <c r="G11" s="29">
        <f>F11*((E11+E12)/2)</f>
        <v>9.1532699999999995E-2</v>
      </c>
      <c r="H11" s="29"/>
    </row>
    <row r="12" spans="1:8" x14ac:dyDescent="0.2">
      <c r="A12" s="5" t="s">
        <v>56</v>
      </c>
      <c r="B12" s="5">
        <v>10</v>
      </c>
      <c r="C12" s="5">
        <f>C11+C9</f>
        <v>6.68</v>
      </c>
      <c r="D12" s="5">
        <v>70</v>
      </c>
      <c r="E12" s="5">
        <v>5.8999999999999997E-2</v>
      </c>
      <c r="F12" s="29">
        <f>C9*(0.01*(D12+D13)/2)</f>
        <v>1.1189</v>
      </c>
      <c r="G12" s="29">
        <f>F12*((E12+E13)/2)</f>
        <v>6.3217849999999992E-2</v>
      </c>
      <c r="H12" s="29"/>
    </row>
    <row r="13" spans="1:8" x14ac:dyDescent="0.2">
      <c r="A13" s="5" t="s">
        <v>56</v>
      </c>
      <c r="B13" s="5">
        <v>10</v>
      </c>
      <c r="C13" s="5">
        <f>C12+C9</f>
        <v>8.35</v>
      </c>
      <c r="D13" s="5">
        <v>64</v>
      </c>
      <c r="E13" s="5">
        <v>5.3999999999999999E-2</v>
      </c>
      <c r="F13" s="29">
        <f>C9*(0.01*((D13+D15)/2))</f>
        <v>1.09385</v>
      </c>
      <c r="G13" s="29">
        <f>F13*E13</f>
        <v>5.90679E-2</v>
      </c>
      <c r="H13" s="29"/>
    </row>
    <row r="14" spans="1:8" x14ac:dyDescent="0.2">
      <c r="A14" s="5" t="s">
        <v>55</v>
      </c>
      <c r="B14" s="5">
        <v>14</v>
      </c>
      <c r="C14" s="5">
        <v>0</v>
      </c>
      <c r="D14" s="5">
        <v>0</v>
      </c>
      <c r="E14" s="5">
        <v>6.0999999999999999E-2</v>
      </c>
      <c r="F14" s="29">
        <f>C15*0.01*D15/2</f>
        <v>0.78055000000000008</v>
      </c>
      <c r="G14" s="29">
        <f>F14*E14</f>
        <v>4.7613550000000004E-2</v>
      </c>
      <c r="H14" s="29">
        <f>SUM(G14:G19)</f>
        <v>0.44475039999999999</v>
      </c>
    </row>
    <row r="15" spans="1:8" x14ac:dyDescent="0.2">
      <c r="A15" s="5" t="s">
        <v>55</v>
      </c>
      <c r="B15" s="5">
        <v>14</v>
      </c>
      <c r="C15" s="5">
        <v>2.33</v>
      </c>
      <c r="D15" s="5">
        <v>67</v>
      </c>
      <c r="E15" s="5">
        <v>6.0999999999999999E-2</v>
      </c>
      <c r="F15" s="29">
        <f>C15*(0.01*(D15+D16)/2)</f>
        <v>1.4912000000000001</v>
      </c>
      <c r="G15" s="29">
        <f>F15*((E15+E16)/2)</f>
        <v>8.4998400000000002E-2</v>
      </c>
      <c r="H15" s="29"/>
    </row>
    <row r="16" spans="1:8" x14ac:dyDescent="0.2">
      <c r="A16" s="5" t="s">
        <v>55</v>
      </c>
      <c r="B16" s="5">
        <v>14</v>
      </c>
      <c r="C16" s="5">
        <v>4.66</v>
      </c>
      <c r="D16" s="5">
        <v>61</v>
      </c>
      <c r="E16" s="5">
        <v>5.2999999999999999E-2</v>
      </c>
      <c r="F16" s="29">
        <f>C15*(0.01*(D16+D17)/2)</f>
        <v>1.4679</v>
      </c>
      <c r="G16" s="29">
        <f>F16*((E16+E17)/2)</f>
        <v>7.04592E-2</v>
      </c>
      <c r="H16" s="29"/>
    </row>
    <row r="17" spans="1:8" x14ac:dyDescent="0.2">
      <c r="A17" s="5" t="s">
        <v>55</v>
      </c>
      <c r="B17" s="5">
        <v>14</v>
      </c>
      <c r="C17" s="5">
        <v>6.99</v>
      </c>
      <c r="D17" s="5">
        <v>65</v>
      </c>
      <c r="E17" s="5">
        <v>4.2999999999999997E-2</v>
      </c>
      <c r="F17" s="29">
        <f>C15*(0.01*(D17+D18)/2)</f>
        <v>1.5727500000000001</v>
      </c>
      <c r="G17" s="29">
        <f>F17*((E17+E18)/2)</f>
        <v>8.0996625000000003E-2</v>
      </c>
      <c r="H17" s="29"/>
    </row>
    <row r="18" spans="1:8" x14ac:dyDescent="0.2">
      <c r="A18" s="5" t="s">
        <v>55</v>
      </c>
      <c r="B18" s="5">
        <v>14</v>
      </c>
      <c r="C18" s="5">
        <v>8.32</v>
      </c>
      <c r="D18" s="5">
        <v>70</v>
      </c>
      <c r="E18" s="5">
        <v>0.06</v>
      </c>
      <c r="F18" s="29">
        <f>C15*(0.01*(D18+D19)/2)</f>
        <v>1.6426499999999999</v>
      </c>
      <c r="G18" s="29">
        <f>F18*((E18+E19)/2)</f>
        <v>8.6239125E-2</v>
      </c>
      <c r="H18" s="29"/>
    </row>
    <row r="19" spans="1:8" x14ac:dyDescent="0.2">
      <c r="A19" s="5" t="s">
        <v>55</v>
      </c>
      <c r="B19" s="5">
        <v>14</v>
      </c>
      <c r="C19" s="5">
        <v>10.65</v>
      </c>
      <c r="D19" s="5">
        <v>71</v>
      </c>
      <c r="E19" s="5">
        <v>4.4999999999999998E-2</v>
      </c>
      <c r="F19" s="29">
        <f>C15*(0.01*(D19))</f>
        <v>1.6542999999999999</v>
      </c>
      <c r="G19" s="29">
        <f>F19*E19</f>
        <v>7.4443499999999996E-2</v>
      </c>
      <c r="H19" s="29"/>
    </row>
    <row r="20" spans="1:8" x14ac:dyDescent="0.2">
      <c r="A20" s="5" t="s">
        <v>58</v>
      </c>
      <c r="B20" s="5">
        <v>8.65</v>
      </c>
      <c r="C20" s="5">
        <v>0</v>
      </c>
      <c r="D20" s="5">
        <v>0</v>
      </c>
      <c r="E20" s="5">
        <v>0</v>
      </c>
      <c r="F20" s="29">
        <f>C21*0.01*D21/2</f>
        <v>3.5999999999999997E-2</v>
      </c>
      <c r="G20" s="29">
        <f>F20*E21</f>
        <v>4.1399999999999996E-3</v>
      </c>
      <c r="H20" s="29">
        <f>SUM(G20:G25)</f>
        <v>0.66098880000000004</v>
      </c>
    </row>
    <row r="21" spans="1:8" x14ac:dyDescent="0.2">
      <c r="A21" s="5" t="s">
        <v>58</v>
      </c>
      <c r="B21" s="5">
        <v>8.65</v>
      </c>
      <c r="C21" s="5">
        <v>1.44</v>
      </c>
      <c r="D21" s="5">
        <v>5</v>
      </c>
      <c r="E21" s="5">
        <v>0.115</v>
      </c>
      <c r="F21" s="29">
        <f>C21*(0.01*(D21+D22)/2)</f>
        <v>7.1999999999999995E-2</v>
      </c>
      <c r="G21" s="29">
        <f>F21*((E21+E22)/2)</f>
        <v>4.8599999999999997E-3</v>
      </c>
      <c r="H21" s="29"/>
    </row>
    <row r="22" spans="1:8" x14ac:dyDescent="0.2">
      <c r="A22" s="5" t="s">
        <v>58</v>
      </c>
      <c r="B22" s="5">
        <v>8.65</v>
      </c>
      <c r="C22" s="5">
        <v>2.88</v>
      </c>
      <c r="D22" s="5">
        <v>5</v>
      </c>
      <c r="E22" s="5">
        <v>0.02</v>
      </c>
      <c r="F22" s="29">
        <f>C21*(0.01*(D22+D23)/2)</f>
        <v>8.6399999999999991E-2</v>
      </c>
      <c r="G22" s="29">
        <f>F22*((E22+E23)/2)</f>
        <v>1.2527999999999999E-3</v>
      </c>
      <c r="H22" s="29"/>
    </row>
    <row r="23" spans="1:8" x14ac:dyDescent="0.2">
      <c r="A23" s="5" t="s">
        <v>58</v>
      </c>
      <c r="B23" s="5">
        <v>8.65</v>
      </c>
      <c r="C23" s="5">
        <v>4.32</v>
      </c>
      <c r="D23" s="5">
        <v>7</v>
      </c>
      <c r="E23" s="5">
        <v>8.9999999999999993E-3</v>
      </c>
      <c r="F23" s="29">
        <f>C21*(0.01*(D23+D24)/2)</f>
        <v>0.1008</v>
      </c>
      <c r="G23" s="29">
        <f>F23*((E23+E24)/2)</f>
        <v>8.0639999999999998E-4</v>
      </c>
      <c r="H23" s="29"/>
    </row>
    <row r="24" spans="1:8" x14ac:dyDescent="0.2">
      <c r="A24" s="5" t="s">
        <v>58</v>
      </c>
      <c r="B24" s="5">
        <v>8.65</v>
      </c>
      <c r="C24" s="5">
        <v>5.76</v>
      </c>
      <c r="D24" s="5">
        <v>7</v>
      </c>
      <c r="E24" s="5">
        <v>7.0000000000000001E-3</v>
      </c>
      <c r="F24" s="29">
        <f>C21*(0.01*(D24+D25)/2)</f>
        <v>0.28799999999999998</v>
      </c>
      <c r="G24" s="29">
        <f>F24*((E24+E25)/2)</f>
        <v>0.15191999999999997</v>
      </c>
      <c r="H24" s="29"/>
    </row>
    <row r="25" spans="1:8" x14ac:dyDescent="0.2">
      <c r="A25" s="5" t="s">
        <v>58</v>
      </c>
      <c r="B25" s="5">
        <v>8.65</v>
      </c>
      <c r="C25" s="5">
        <v>7.2</v>
      </c>
      <c r="D25" s="5">
        <v>33</v>
      </c>
      <c r="E25" s="5">
        <v>1.048</v>
      </c>
      <c r="F25" s="29">
        <f>C21*(0.01*(D25))</f>
        <v>0.47520000000000001</v>
      </c>
      <c r="G25" s="29">
        <f>F25*E25</f>
        <v>0.49800960000000005</v>
      </c>
      <c r="H25" s="29"/>
    </row>
    <row r="26" spans="1:8" x14ac:dyDescent="0.2">
      <c r="A26" s="5" t="s">
        <v>59</v>
      </c>
      <c r="B26" s="5">
        <v>4.5</v>
      </c>
      <c r="C26" s="5">
        <v>0</v>
      </c>
      <c r="D26" s="5">
        <v>0</v>
      </c>
      <c r="E26" s="5">
        <v>0</v>
      </c>
      <c r="F26" s="29"/>
      <c r="G26" s="29"/>
      <c r="H26" s="29">
        <v>0</v>
      </c>
    </row>
    <row r="27" spans="1:8" x14ac:dyDescent="0.2">
      <c r="A27" s="5" t="s">
        <v>59</v>
      </c>
      <c r="B27" s="5">
        <v>4.5</v>
      </c>
      <c r="C27" s="5">
        <v>0.75</v>
      </c>
      <c r="D27" s="5">
        <v>53</v>
      </c>
      <c r="E27" s="5">
        <v>0</v>
      </c>
      <c r="F27" s="29"/>
      <c r="G27" s="29"/>
      <c r="H27" s="29"/>
    </row>
    <row r="28" spans="1:8" x14ac:dyDescent="0.2">
      <c r="A28" s="5" t="s">
        <v>59</v>
      </c>
      <c r="B28" s="5">
        <v>4.5</v>
      </c>
      <c r="C28" s="5">
        <v>1.5</v>
      </c>
      <c r="D28" s="5">
        <v>57</v>
      </c>
      <c r="E28" s="5">
        <v>0</v>
      </c>
      <c r="F28" s="29"/>
      <c r="G28" s="29"/>
      <c r="H28" s="29"/>
    </row>
    <row r="29" spans="1:8" x14ac:dyDescent="0.2">
      <c r="A29" s="5" t="s">
        <v>59</v>
      </c>
      <c r="B29" s="5">
        <v>4.5</v>
      </c>
      <c r="C29" s="5">
        <v>2.25</v>
      </c>
      <c r="D29" s="5">
        <v>61</v>
      </c>
      <c r="E29" s="5">
        <v>0</v>
      </c>
      <c r="F29" s="29"/>
      <c r="G29" s="29"/>
      <c r="H29" s="29"/>
    </row>
    <row r="30" spans="1:8" x14ac:dyDescent="0.2">
      <c r="A30" s="5" t="s">
        <v>59</v>
      </c>
      <c r="B30" s="5">
        <v>4.5</v>
      </c>
      <c r="C30" s="5">
        <v>3</v>
      </c>
      <c r="D30" s="5">
        <v>69</v>
      </c>
      <c r="E30" s="5">
        <v>0</v>
      </c>
      <c r="F30" s="29"/>
      <c r="G30" s="29"/>
      <c r="H30" s="29"/>
    </row>
    <row r="31" spans="1:8" x14ac:dyDescent="0.2">
      <c r="A31" s="5" t="s">
        <v>59</v>
      </c>
      <c r="B31" s="5">
        <v>4.5</v>
      </c>
      <c r="C31" s="5">
        <v>3.75</v>
      </c>
      <c r="D31" s="5">
        <v>52</v>
      </c>
      <c r="E31" s="5">
        <v>0</v>
      </c>
      <c r="F31" s="29"/>
      <c r="G31" s="29"/>
      <c r="H31" s="29"/>
    </row>
    <row r="32" spans="1:8" x14ac:dyDescent="0.2">
      <c r="A32" s="5" t="s">
        <v>60</v>
      </c>
      <c r="B32" s="5">
        <v>1.33</v>
      </c>
      <c r="C32" s="5">
        <v>0</v>
      </c>
      <c r="D32" s="5">
        <v>0</v>
      </c>
      <c r="E32" s="5">
        <v>0</v>
      </c>
      <c r="F32" s="29">
        <f>D33*0.01*C33/2</f>
        <v>3.3000000000000002E-2</v>
      </c>
      <c r="G32" s="29">
        <f>F32*E33</f>
        <v>3.4848000000000004E-2</v>
      </c>
      <c r="H32" s="29">
        <f>SUM(G32:G35)</f>
        <v>0.22239937500000001</v>
      </c>
    </row>
    <row r="33" spans="1:8" x14ac:dyDescent="0.2">
      <c r="A33" s="5" t="s">
        <v>60</v>
      </c>
      <c r="B33" s="5">
        <v>1.33</v>
      </c>
      <c r="C33" s="5">
        <v>0.33</v>
      </c>
      <c r="D33" s="5">
        <v>20</v>
      </c>
      <c r="E33" s="5">
        <v>1.056</v>
      </c>
      <c r="F33" s="29">
        <f>C33*(0.01*(D33+D34)/2)</f>
        <v>9.0750000000000011E-2</v>
      </c>
      <c r="G33" s="29">
        <f>F33*((E34+E33)/2)</f>
        <v>0.11248462500000002</v>
      </c>
      <c r="H33" s="29"/>
    </row>
    <row r="34" spans="1:8" x14ac:dyDescent="0.2">
      <c r="A34" s="5" t="s">
        <v>60</v>
      </c>
      <c r="B34" s="5">
        <v>1.33</v>
      </c>
      <c r="C34" s="5">
        <v>0.66</v>
      </c>
      <c r="D34" s="5">
        <v>35</v>
      </c>
      <c r="E34" s="5">
        <v>1.423</v>
      </c>
      <c r="F34" s="29">
        <f>C33*(0.01*(D34+D35)/2)</f>
        <v>9.9000000000000005E-2</v>
      </c>
      <c r="G34" s="29">
        <f>F34*((E35+E34)/2)</f>
        <v>7.2963E-2</v>
      </c>
      <c r="H34" s="29"/>
    </row>
    <row r="35" spans="1:8" x14ac:dyDescent="0.2">
      <c r="A35" s="5" t="s">
        <v>60</v>
      </c>
      <c r="B35" s="5">
        <v>1.33</v>
      </c>
      <c r="C35" s="5">
        <v>0.99</v>
      </c>
      <c r="D35" s="5">
        <v>25</v>
      </c>
      <c r="E35" s="5">
        <v>5.0999999999999997E-2</v>
      </c>
      <c r="F35" s="29">
        <f>C33*(0.01*(D35+D36)/2)</f>
        <v>4.1250000000000002E-2</v>
      </c>
      <c r="G35" s="29">
        <f>F35*E35</f>
        <v>2.1037500000000002E-3</v>
      </c>
      <c r="H35" s="29"/>
    </row>
    <row r="36" spans="1:8" x14ac:dyDescent="0.2">
      <c r="F36" s="29"/>
      <c r="G36" s="29"/>
      <c r="H36" s="29"/>
    </row>
    <row r="37" spans="1:8" x14ac:dyDescent="0.2">
      <c r="A37" s="9" t="s">
        <v>51</v>
      </c>
      <c r="B37" s="5">
        <v>0.8</v>
      </c>
      <c r="C37" s="10">
        <v>0.2</v>
      </c>
      <c r="D37" s="10">
        <v>33</v>
      </c>
      <c r="E37" s="11">
        <v>3.0000000000000001E-3</v>
      </c>
      <c r="F37" s="29">
        <v>6.6000000000000003E-2</v>
      </c>
      <c r="G37" s="29">
        <v>1.9800000000000002E-4</v>
      </c>
      <c r="H37" s="28">
        <v>1.5674999999999999E-3</v>
      </c>
    </row>
    <row r="38" spans="1:8" x14ac:dyDescent="0.2">
      <c r="A38" s="9" t="s">
        <v>51</v>
      </c>
      <c r="B38" s="5">
        <v>0.8</v>
      </c>
      <c r="C38" s="10">
        <v>0.3</v>
      </c>
      <c r="D38" s="10">
        <v>20.5</v>
      </c>
      <c r="E38" s="11">
        <v>1.0999999999999999E-2</v>
      </c>
      <c r="F38" s="29">
        <v>6.1499999999999992E-2</v>
      </c>
      <c r="G38" s="29">
        <v>6.7649999999999991E-4</v>
      </c>
      <c r="H38" s="29"/>
    </row>
    <row r="39" spans="1:8" x14ac:dyDescent="0.2">
      <c r="A39" s="9" t="s">
        <v>51</v>
      </c>
      <c r="B39" s="5">
        <v>0.8</v>
      </c>
      <c r="C39" s="10">
        <v>0.2</v>
      </c>
      <c r="D39" s="10">
        <v>10.5</v>
      </c>
      <c r="E39" s="11">
        <v>3.3000000000000002E-2</v>
      </c>
      <c r="F39" s="29">
        <v>2.1000000000000001E-2</v>
      </c>
      <c r="G39" s="29">
        <v>6.9300000000000004E-4</v>
      </c>
      <c r="H39" s="29"/>
    </row>
    <row r="40" spans="1:8" x14ac:dyDescent="0.2">
      <c r="A40" s="9" t="s">
        <v>52</v>
      </c>
      <c r="B40" s="5">
        <v>0.7</v>
      </c>
      <c r="C40" s="10">
        <v>0.17499999999999999</v>
      </c>
      <c r="D40" s="10">
        <v>49</v>
      </c>
      <c r="E40" s="11">
        <v>8.9999999999999993E-3</v>
      </c>
      <c r="F40" s="29">
        <v>8.5749999999999993E-2</v>
      </c>
      <c r="G40" s="29">
        <v>7.7174999999999987E-4</v>
      </c>
      <c r="H40" s="28">
        <v>2.3362499999999998E-3</v>
      </c>
    </row>
    <row r="41" spans="1:8" x14ac:dyDescent="0.2">
      <c r="A41" s="9" t="s">
        <v>52</v>
      </c>
      <c r="B41" s="5">
        <v>0.7</v>
      </c>
      <c r="C41" s="10">
        <v>0.17499999999999999</v>
      </c>
      <c r="D41" s="10">
        <v>53</v>
      </c>
      <c r="E41" s="11">
        <v>6.0000000000000001E-3</v>
      </c>
      <c r="F41" s="29">
        <v>9.2749999999999999E-2</v>
      </c>
      <c r="G41" s="29">
        <v>5.5650000000000003E-4</v>
      </c>
      <c r="H41" s="29"/>
    </row>
    <row r="42" spans="1:8" x14ac:dyDescent="0.2">
      <c r="A42" s="9" t="s">
        <v>52</v>
      </c>
      <c r="B42" s="5">
        <v>0.7</v>
      </c>
      <c r="C42" s="10">
        <v>0.17499999999999999</v>
      </c>
      <c r="D42" s="10">
        <v>48</v>
      </c>
      <c r="E42" s="11">
        <v>1.2E-2</v>
      </c>
      <c r="F42" s="29">
        <v>8.3999999999999991E-2</v>
      </c>
      <c r="G42" s="29">
        <v>1.008E-3</v>
      </c>
      <c r="H42" s="29"/>
    </row>
    <row r="43" spans="1:8" x14ac:dyDescent="0.2">
      <c r="A43" s="9" t="s">
        <v>53</v>
      </c>
      <c r="B43" s="5">
        <v>0.9</v>
      </c>
      <c r="C43" s="10">
        <v>0.22500000000000001</v>
      </c>
      <c r="D43" s="10">
        <v>11.4</v>
      </c>
      <c r="E43" s="11">
        <v>0.58399999999999996</v>
      </c>
      <c r="F43" s="29">
        <v>2.5650000000000003E-2</v>
      </c>
      <c r="G43" s="29">
        <v>1.4979600000000001E-2</v>
      </c>
      <c r="H43" s="28">
        <v>4.2807600000000001E-2</v>
      </c>
    </row>
    <row r="44" spans="1:8" x14ac:dyDescent="0.2">
      <c r="A44" s="9" t="s">
        <v>53</v>
      </c>
      <c r="B44" s="5">
        <v>0.9</v>
      </c>
      <c r="C44" s="10">
        <v>0.3</v>
      </c>
      <c r="D44" s="10">
        <v>13.8</v>
      </c>
      <c r="E44" s="11">
        <v>0.47</v>
      </c>
      <c r="F44" s="29">
        <v>4.1399999999999999E-2</v>
      </c>
      <c r="G44" s="29">
        <v>1.9458E-2</v>
      </c>
      <c r="H44" s="29"/>
    </row>
    <row r="45" spans="1:8" x14ac:dyDescent="0.2">
      <c r="A45" s="9" t="s">
        <v>53</v>
      </c>
      <c r="B45" s="5">
        <v>0.9</v>
      </c>
      <c r="C45" s="10">
        <v>0.22500000000000001</v>
      </c>
      <c r="D45" s="10">
        <v>7.5</v>
      </c>
      <c r="E45" s="11">
        <v>0.496</v>
      </c>
      <c r="F45" s="29">
        <v>1.6875000000000001E-2</v>
      </c>
      <c r="G45" s="29">
        <v>8.3700000000000007E-3</v>
      </c>
      <c r="H45" s="29"/>
    </row>
    <row r="46" spans="1:8" x14ac:dyDescent="0.2">
      <c r="A46" s="9" t="s">
        <v>54</v>
      </c>
      <c r="B46" s="5">
        <v>1.3</v>
      </c>
      <c r="C46" s="10">
        <v>0.24</v>
      </c>
      <c r="D46" s="10">
        <v>15</v>
      </c>
      <c r="E46" s="11">
        <v>0.5</v>
      </c>
      <c r="F46" s="29">
        <v>3.5999999999999997E-2</v>
      </c>
      <c r="G46" s="29">
        <v>1.7999999999999999E-2</v>
      </c>
      <c r="H46" s="28">
        <v>7.7099199999999993E-2</v>
      </c>
    </row>
    <row r="47" spans="1:8" x14ac:dyDescent="0.2">
      <c r="A47" s="9" t="s">
        <v>54</v>
      </c>
      <c r="B47" s="5">
        <v>1.3</v>
      </c>
      <c r="C47" s="10">
        <v>0.32</v>
      </c>
      <c r="D47" s="10">
        <v>20</v>
      </c>
      <c r="E47" s="11">
        <v>0.45500000000000002</v>
      </c>
      <c r="F47" s="29">
        <v>6.4000000000000001E-2</v>
      </c>
      <c r="G47" s="29">
        <v>2.912E-2</v>
      </c>
      <c r="H47" s="29"/>
    </row>
    <row r="48" spans="1:8" x14ac:dyDescent="0.2">
      <c r="A48" s="9" t="s">
        <v>54</v>
      </c>
      <c r="B48" s="5">
        <v>1.3</v>
      </c>
      <c r="C48" s="10">
        <v>0.41</v>
      </c>
      <c r="D48" s="10">
        <v>16</v>
      </c>
      <c r="E48" s="11">
        <v>0.45700000000000002</v>
      </c>
      <c r="F48" s="29">
        <v>6.5599999999999992E-2</v>
      </c>
      <c r="G48" s="29">
        <v>2.9979199999999998E-2</v>
      </c>
      <c r="H48" s="29"/>
    </row>
  </sheetData>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Site_Description</vt:lpstr>
      <vt:lpstr>Chemsitry</vt:lpstr>
      <vt:lpstr>Kick_sampling</vt:lpstr>
      <vt:lpstr>Discharge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Sally Borrowman</dc:creator>
  <cp:keywords/>
  <dc:description/>
  <cp:lastModifiedBy>Mayuko Nishimura</cp:lastModifiedBy>
  <cp:revision/>
  <dcterms:created xsi:type="dcterms:W3CDTF">2026-08-31T20:02:18Z</dcterms:created>
  <dcterms:modified xsi:type="dcterms:W3CDTF">2026-10-22T10:47:28Z</dcterms:modified>
  <cp:category/>
  <cp:contentStatus/>
</cp:coreProperties>
</file>